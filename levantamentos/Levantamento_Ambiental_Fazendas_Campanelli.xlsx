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Resumo por Imóvel" sheetId="2" state="visible" r:id="rId2"/>
    <sheet name="CAR" sheetId="3" state="visible" r:id="rId3"/>
    <sheet name="Outorgas" sheetId="4" state="visible" r:id="rId4"/>
    <sheet name="Autos e TCRA" sheetId="5" state="visible" r:id="rId5"/>
    <sheet name="Processos CETESB" sheetId="6" state="visible" r:id="rId6"/>
    <sheet name="Incêndios" sheetId="7" state="visible" r:id="rId7"/>
    <sheet name="Licenciamentos" sheetId="8" state="visible" r:id="rId8"/>
    <sheet name="Base - Próprias" sheetId="9" state="visible" r:id="rId9"/>
    <sheet name="Base - Parceiras" sheetId="10" state="visible" r:id="rId10"/>
    <sheet name="Listas" sheetId="11" state="hidden" r:id="rId11"/>
  </sheets>
  <definedNames>
    <definedName name="_xlnm._FilterDatabase" localSheetId="1" hidden="1">'Resumo por Imóvel'!$A$1:$S$1</definedName>
    <definedName name="_xlnm._FilterDatabase" localSheetId="2" hidden="1">'CAR'!$A$1:$R$1</definedName>
    <definedName name="_xlnm._FilterDatabase" localSheetId="3" hidden="1">'Outorgas'!$A$1:$R$1</definedName>
    <definedName name="_xlnm._FilterDatabase" localSheetId="4" hidden="1">'Autos e TCRA'!$A$1:$R$1</definedName>
    <definedName name="_xlnm._FilterDatabase" localSheetId="5" hidden="1">'Processos CETESB'!$A$1:$M$1</definedName>
    <definedName name="_xlnm._FilterDatabase" localSheetId="6" hidden="1">'Incêndios'!$A$1:$O$1</definedName>
    <definedName name="_xlnm._FilterDatabase" localSheetId="7" hidden="1">'Licenciamentos'!$A$1:$P$1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DD/MM/YYYY"/>
    <numFmt numFmtId="166" formatCode="R$ #,##0.00"/>
  </numFmts>
  <fonts count="10">
    <font>
      <name val="Calibri"/>
      <family val="2"/>
      <color theme="1"/>
      <sz val="11"/>
      <scheme val="minor"/>
    </font>
    <font>
      <b val="1"/>
      <color rgb="00024168"/>
      <sz val="16"/>
    </font>
    <font>
      <color rgb="00444444"/>
      <sz val="10"/>
    </font>
    <font>
      <b val="1"/>
      <color rgb="009C5700"/>
      <sz val="10"/>
    </font>
    <font>
      <b val="1"/>
      <color rgb="00FFFFFF"/>
      <sz val="10"/>
    </font>
    <font>
      <sz val="10"/>
    </font>
    <font>
      <i val="1"/>
      <color rgb="000D7B3C"/>
      <sz val="10"/>
    </font>
    <font>
      <b val="1"/>
      <color rgb="00024168"/>
      <sz val="11"/>
    </font>
    <font>
      <b val="1"/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024168"/>
      </patternFill>
    </fill>
    <fill>
      <patternFill patternType="solid">
        <fgColor rgb="00F2F5F7"/>
      </patternFill>
    </fill>
  </fills>
  <borders count="2">
    <border>
      <left/>
      <right/>
      <top/>
      <bottom/>
      <diagonal/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164" fontId="5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9" fillId="0" borderId="0" pivotButton="0" quotePrefix="0" xfId="0"/>
    <xf numFmtId="165" fontId="5" fillId="4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6" fontId="5" fillId="4" borderId="1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7B3C"/>
    <outlinePr summaryBelow="1" summaryRight="1"/>
    <pageSetUpPr/>
  </sheetPr>
  <dimension ref="A1:F35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34" customWidth="1" min="4" max="4"/>
    <col width="2" customWidth="1" min="5" max="5"/>
    <col width="2" customWidth="1" min="6" max="6"/>
  </cols>
  <sheetData>
    <row r="1">
      <c r="A1" s="1" t="inlineStr">
        <is>
          <t>LEVANTAMENTO AMBIENTAL — FAZENDAS CAMPANELLI</t>
        </is>
      </c>
    </row>
    <row r="2">
      <c r="A2" s="2" t="inlineStr">
        <is>
          <t>Roteiro de consulta e instrumento de coleta — CAR, Outorgas, Autos de Infração/TCRA, Processos CETESB, Incêndios e Licenciamentos</t>
        </is>
      </c>
    </row>
    <row r="4" ht="46" customHeight="1">
      <c r="A4" s="3" t="inlineStr">
        <is>
          <t>ATENÇÃO: as abas de dados estão ESTRUTURADAS E PRÉ-PREENCHIDAS com o que consta na planilha de origem (imóvel, município, CCIR, matrícula e área). Os campos ambientais estão EM BRANCO e devem ser preenchidos a partir das consultas oficiais indicadas abaixo — nenhum dado ambiental foi presumido ou estimado.</t>
        </is>
      </c>
    </row>
    <row r="6" ht="42" customHeight="1">
      <c r="A6" s="4" t="inlineStr">
        <is>
          <t>Item</t>
        </is>
      </c>
      <c r="B6" s="4" t="inlineStr">
        <is>
          <t>Órgão / Sistema</t>
        </is>
      </c>
      <c r="C6" s="4" t="inlineStr">
        <is>
          <t>Onde consultar (portal)</t>
        </is>
      </c>
      <c r="D6" s="4" t="inlineStr">
        <is>
          <t>Dado necessário para a consulta</t>
        </is>
      </c>
      <c r="E6" s="4" t="inlineStr">
        <is>
          <t>Documento a obter</t>
        </is>
      </c>
      <c r="F6" s="4" t="inlineStr">
        <is>
          <t>Aba de destino</t>
        </is>
      </c>
    </row>
    <row r="7">
      <c r="A7" s="5" t="inlineStr">
        <is>
          <t>N° do CAR</t>
        </is>
      </c>
      <c r="B7" s="5" t="inlineStr">
        <is>
          <t>SICAR / SFB — Consulta Pública</t>
        </is>
      </c>
      <c r="C7" s="5" t="inlineStr">
        <is>
          <t>consultapublica.car.gov.br/publico/imoveis/index</t>
        </is>
      </c>
      <c r="D7" s="5" t="inlineStr">
        <is>
          <t>N° do recibo do CAR ou CPF/CNPJ do declarante; alternativamente o polígono do imóvel</t>
        </is>
      </c>
      <c r="E7" s="5" t="inlineStr">
        <is>
          <t>Demonstrativo do CAR + Recibo de inscrição</t>
        </is>
      </c>
      <c r="F7" s="5" t="inlineStr">
        <is>
          <t>CAR</t>
        </is>
      </c>
    </row>
    <row r="8">
      <c r="A8" s="6" t="inlineStr">
        <is>
          <t>N° do CAR (SP)</t>
        </is>
      </c>
      <c r="B8" s="6" t="inlineStr">
        <is>
          <t>SICAR-SP / SIGAM — SEMIL-SP</t>
        </is>
      </c>
      <c r="C8" s="6" t="inlineStr">
        <is>
          <t>sigam.ambiente.sp.gov.br  •  car.sp.gov.br</t>
        </is>
      </c>
      <c r="D8" s="6" t="inlineStr">
        <is>
          <t>CPF/CNPJ do proprietário ou n° do CAR</t>
        </is>
      </c>
      <c r="E8" s="6" t="inlineStr">
        <is>
          <t>Situação da inscrição, análise e adesão ao PRA</t>
        </is>
      </c>
      <c r="F8" s="6" t="inlineStr">
        <is>
          <t>CAR</t>
        </is>
      </c>
    </row>
    <row r="9">
      <c r="A9" s="5" t="inlineStr">
        <is>
          <t>Outorga (águas estaduais)</t>
        </is>
      </c>
      <c r="B9" s="5" t="inlineStr">
        <is>
          <t>DAEE-SP</t>
        </is>
      </c>
      <c r="C9" s="5" t="inlineStr">
        <is>
          <t>outorga.daee.sp.gov.br  •  aplicacoes.daee.sp.gov.br</t>
        </is>
      </c>
      <c r="D9" s="5" t="inlineStr">
        <is>
          <t>CPF/CNPJ do requerente ou n° do processo/portaria DAEE</t>
        </is>
      </c>
      <c r="E9" s="5" t="inlineStr">
        <is>
          <t>Portaria de outorga / Licença de execução / Dispensa</t>
        </is>
      </c>
      <c r="F9" s="5" t="inlineStr">
        <is>
          <t>Outorgas</t>
        </is>
      </c>
    </row>
    <row r="10">
      <c r="A10" s="6" t="inlineStr">
        <is>
          <t>Outorga (águas federais)</t>
        </is>
      </c>
      <c r="B10" s="6" t="inlineStr">
        <is>
          <t>ANA — REGLA / SNIRH</t>
        </is>
      </c>
      <c r="C10" s="6" t="inlineStr">
        <is>
          <t>gov.br/ana  •  snirh.gov.br</t>
        </is>
      </c>
      <c r="D10" s="6" t="inlineStr">
        <is>
          <t>CPF/CNPJ ou n° da resolução. Aplica-se a captações no Rio Grande, Paranapanema e Paraná (rios de domínio da União)</t>
        </is>
      </c>
      <c r="E10" s="6" t="inlineStr">
        <is>
          <t>Resolução de outorga ANA</t>
        </is>
      </c>
      <c r="F10" s="6" t="inlineStr">
        <is>
          <t>Outorgas</t>
        </is>
      </c>
    </row>
    <row r="11">
      <c r="A11" s="5" t="inlineStr">
        <is>
          <t>Poços tubulares</t>
        </is>
      </c>
      <c r="B11" s="5" t="inlineStr">
        <is>
          <t>DAEE / SIAGAS-CPRM</t>
        </is>
      </c>
      <c r="C11" s="5" t="inlineStr">
        <is>
          <t>siagasweb.sgb.gov.br</t>
        </is>
      </c>
      <c r="D11" s="5" t="inlineStr">
        <is>
          <t>Município + coordenadas do poço</t>
        </is>
      </c>
      <c r="E11" s="5" t="inlineStr">
        <is>
          <t>Cadastro do poço e outorga de perfuração/uso</t>
        </is>
      </c>
      <c r="F11" s="5" t="inlineStr">
        <is>
          <t>Outorgas</t>
        </is>
      </c>
    </row>
    <row r="12">
      <c r="A12" s="6" t="inlineStr">
        <is>
          <t>Autos de Infração (estadual)</t>
        </is>
      </c>
      <c r="B12" s="6" t="inlineStr">
        <is>
          <t>CETESB / Polícia Militar Ambiental</t>
        </is>
      </c>
      <c r="C12" s="6" t="inlineStr">
        <is>
          <t>Agência Ambiental da CETESB do município  •  cetesb.sp.gov.br</t>
        </is>
      </c>
      <c r="D12" s="6" t="inlineStr">
        <is>
          <t>CPF/CNPJ do autuado e/ou n° do auto (AIA/AIPI)</t>
        </is>
      </c>
      <c r="E12" s="6" t="inlineStr">
        <is>
          <t>Auto de Infração, Auto de Imposição de Penalidade, extrato de débito</t>
        </is>
      </c>
      <c r="F12" s="6" t="inlineStr">
        <is>
          <t>Autos e TCRA</t>
        </is>
      </c>
    </row>
    <row r="13">
      <c r="A13" s="5" t="inlineStr">
        <is>
          <t>Autos de Infração (federal)</t>
        </is>
      </c>
      <c r="B13" s="5" t="inlineStr">
        <is>
          <t>IBAMA — Consulta de autuações</t>
        </is>
      </c>
      <c r="C13" s="5" t="inlineStr">
        <is>
          <t>servicos.ibama.gov.br  •  Painel de Autos de Infração (dadosabertos.ibama.gov.br)</t>
        </is>
      </c>
      <c r="D13" s="5" t="inlineStr">
        <is>
          <t>CPF/CNPJ do autuado</t>
        </is>
      </c>
      <c r="E13" s="5" t="inlineStr">
        <is>
          <t>Auto de infração e situação do débito/embargo</t>
        </is>
      </c>
      <c r="F13" s="5" t="inlineStr">
        <is>
          <t>Autos e TCRA</t>
        </is>
      </c>
    </row>
    <row r="14">
      <c r="A14" s="6" t="inlineStr">
        <is>
          <t>TCRA / TAC</t>
        </is>
      </c>
      <c r="B14" s="6" t="inlineStr">
        <is>
          <t>CETESB / SEMIL-SP / Ministério Público</t>
        </is>
      </c>
      <c r="C14" s="6" t="inlineStr">
        <is>
          <t>Agência Ambiental da CETESB  •  MPSP (comarca do imóvel)</t>
        </is>
      </c>
      <c r="D14" s="6" t="inlineStr">
        <is>
          <t>N° do processo administrativo ou CPF/CNPJ</t>
        </is>
      </c>
      <c r="E14" s="6" t="inlineStr">
        <is>
          <t>Termo de Compromisso de Recuperação Ambiental e PRAD vinculado</t>
        </is>
      </c>
      <c r="F14" s="6" t="inlineStr">
        <is>
          <t>Autos e TCRA</t>
        </is>
      </c>
    </row>
    <row r="15">
      <c r="A15" s="5" t="inlineStr">
        <is>
          <t>Processo CETESB</t>
        </is>
      </c>
      <c r="B15" s="5" t="inlineStr">
        <is>
          <t>CETESB — Agência Ambiental</t>
        </is>
      </c>
      <c r="C15" s="5" t="inlineStr">
        <is>
          <t>e-ambiente / SIGAM  •  protocolo na Agência Ambiental</t>
        </is>
      </c>
      <c r="D15" s="5" t="inlineStr">
        <is>
          <t>N° do processo ou CPF/CNPJ do interessado</t>
        </is>
      </c>
      <c r="E15" s="5" t="inlineStr">
        <is>
          <t>Extrato/andamento do processo administrativo</t>
        </is>
      </c>
      <c r="F15" s="5" t="inlineStr">
        <is>
          <t>Processos CETESB</t>
        </is>
      </c>
    </row>
    <row r="16">
      <c r="A16" s="6" t="inlineStr">
        <is>
          <t>Incêndios / queimadas</t>
        </is>
      </c>
      <c r="B16" s="6" t="inlineStr">
        <is>
          <t>INPE — Programa Queimadas (BDQueimadas)</t>
        </is>
      </c>
      <c r="C16" s="6" t="inlineStr">
        <is>
          <t>terrabrasilis.dpi.inpe.br/queimadas  •  queimadas.dgi.inpe.br</t>
        </is>
      </c>
      <c r="D16" s="6" t="inlineStr">
        <is>
          <t>Polígono do imóvel (shapefile do CAR) ou município + período</t>
        </is>
      </c>
      <c r="E16" s="6" t="inlineStr">
        <is>
          <t>Relatório de focos de calor e área queimada por data</t>
        </is>
      </c>
      <c r="F16" s="6" t="inlineStr">
        <is>
          <t>Incêndios</t>
        </is>
      </c>
    </row>
    <row r="17">
      <c r="A17" s="5" t="inlineStr">
        <is>
          <t>Incêndios — ocorrência</t>
        </is>
      </c>
      <c r="B17" s="5" t="inlineStr">
        <is>
          <t>Corpo de Bombeiros / Defesa Civil / PM Ambiental</t>
        </is>
      </c>
      <c r="C17" s="5" t="inlineStr">
        <is>
          <t>Unidade da comarca do imóvel</t>
        </is>
      </c>
      <c r="D17" s="5" t="inlineStr">
        <is>
          <t>Data e local da ocorrência</t>
        </is>
      </c>
      <c r="E17" s="5" t="inlineStr">
        <is>
          <t>Boletim de Ocorrência e eventual auto de infração vinculado</t>
        </is>
      </c>
      <c r="F17" s="5" t="inlineStr">
        <is>
          <t>Incêndios</t>
        </is>
      </c>
    </row>
    <row r="18">
      <c r="A18" s="6" t="inlineStr">
        <is>
          <t>Licenciamento ambiental</t>
        </is>
      </c>
      <c r="B18" s="6" t="inlineStr">
        <is>
          <t>CETESB — Licenciamento</t>
        </is>
      </c>
      <c r="C18" s="6" t="inlineStr">
        <is>
          <t>licenciamento.cetesb.sp.gov.br</t>
        </is>
      </c>
      <c r="D18" s="6" t="inlineStr">
        <is>
          <t>CPF/CNPJ do empreendedor ou n° da licença/processo</t>
        </is>
      </c>
      <c r="E18" s="6" t="inlineStr">
        <is>
          <t>LP / LI / LO / Licença Simplificada / CADRI e condicionantes</t>
        </is>
      </c>
      <c r="F18" s="6" t="inlineStr">
        <is>
          <t>Licenciamentos</t>
        </is>
      </c>
    </row>
    <row r="19">
      <c r="A19" s="5" t="inlineStr">
        <is>
          <t>Supressão de vegetação e APP</t>
        </is>
      </c>
      <c r="B19" s="5" t="inlineStr">
        <is>
          <t>SEMIL-SP / CFB — via SIGAM</t>
        </is>
      </c>
      <c r="C19" s="5" t="inlineStr">
        <is>
          <t>sigam.ambiente.sp.gov.br</t>
        </is>
      </c>
      <c r="D19" s="5" t="inlineStr">
        <is>
          <t>N° do processo ou CPF/CNPJ</t>
        </is>
      </c>
      <c r="E19" s="5" t="inlineStr">
        <is>
          <t>Autorização de supressão / intervenção em APP e compensação</t>
        </is>
      </c>
      <c r="F19" s="5" t="inlineStr">
        <is>
          <t>Licenciamentos</t>
        </is>
      </c>
    </row>
    <row r="20">
      <c r="A20" s="6" t="inlineStr">
        <is>
          <t>Licença de uso de irrigação</t>
        </is>
      </c>
      <c r="B20" s="6" t="inlineStr">
        <is>
          <t>CATI/SAA-SP e CETESB</t>
        </is>
      </c>
      <c r="C20" s="6" t="inlineStr">
        <is>
          <t>Conforme o porte e a atividade do empreendimento</t>
        </is>
      </c>
      <c r="D20" s="6" t="inlineStr">
        <is>
          <t>Descrição da atividade e área irrigada</t>
        </is>
      </c>
      <c r="E20" s="6" t="inlineStr">
        <is>
          <t>Licença ou declaração de dispensa</t>
        </is>
      </c>
      <c r="F20" s="6" t="inlineStr">
        <is>
          <t>Licenciamentos</t>
        </is>
      </c>
    </row>
    <row r="22" ht="32" customHeight="1">
      <c r="A22" s="7" t="inlineStr">
        <is>
          <t>CAMINHO MAIS CURTO: a maior parte das consultas acima é feita por CPF/CNPJ do proprietário. Levantando por CNPJ (SICAR, DAEE, IBAMA, CETESB) obtém-se de uma só vez a lista completa de registros do grupo, que depois é rateada por imóvel nas abas deste arquivo.</t>
        </is>
      </c>
    </row>
    <row r="24">
      <c r="A24" s="8" t="inlineStr">
        <is>
          <t>MUNICÍPIOS DO PORTFÓLIO — REFERÊNCIA PARA PROTOCOLO (confirmar em cetesb.sp.gov.br/agencias-ambientais)</t>
        </is>
      </c>
    </row>
    <row r="25" ht="42" customHeight="1">
      <c r="A25" s="4" t="inlineStr">
        <is>
          <t>Município</t>
        </is>
      </c>
      <c r="B25" s="4" t="inlineStr">
        <is>
          <t>Imóveis</t>
        </is>
      </c>
      <c r="C25" s="4" t="inlineStr">
        <is>
          <t>Agência Ambiental CETESB (a confirmar)</t>
        </is>
      </c>
      <c r="D25" s="4" t="inlineStr">
        <is>
          <t>UGRHI / Bacia (a confirmar)</t>
        </is>
      </c>
      <c r="E25" s="4" t="inlineStr"/>
      <c r="F25" s="4" t="inlineStr"/>
    </row>
    <row r="26">
      <c r="A26" s="6" t="inlineStr">
        <is>
          <t>Altair</t>
        </is>
      </c>
      <c r="B26" s="6" t="inlineStr">
        <is>
          <t>Fazenda Alvorada, Fazenda Santa Rosa, Fazenda São Pedro</t>
        </is>
      </c>
      <c r="C26" s="6" t="n"/>
      <c r="D26" s="6" t="n"/>
    </row>
    <row r="27">
      <c r="A27" s="5" t="inlineStr">
        <is>
          <t>Colina</t>
        </is>
      </c>
      <c r="B27" s="5" t="inlineStr">
        <is>
          <t>Fazenda São Geraldo, Fazenda Santa Inacia, Fazenda Iracema</t>
        </is>
      </c>
      <c r="C27" s="5" t="n"/>
      <c r="D27" s="5" t="n"/>
    </row>
    <row r="28">
      <c r="A28" s="6" t="inlineStr">
        <is>
          <t>Guapiaçu</t>
        </is>
      </c>
      <c r="B28" s="6" t="inlineStr">
        <is>
          <t>Fazenda Santo Antonio</t>
        </is>
      </c>
      <c r="C28" s="6" t="n"/>
      <c r="D28" s="6" t="n"/>
    </row>
    <row r="29">
      <c r="A29" s="5" t="inlineStr">
        <is>
          <t>Guaraci</t>
        </is>
      </c>
      <c r="B29" s="5" t="inlineStr">
        <is>
          <t>Fazenda São João, Fazenda São Francisco (S.Pedro) GEO c/ desmembramento</t>
        </is>
      </c>
      <c r="C29" s="5" t="n"/>
      <c r="D29" s="5" t="n"/>
    </row>
    <row r="30">
      <c r="A30" s="6" t="inlineStr">
        <is>
          <t>Monte Azul Paulista</t>
        </is>
      </c>
      <c r="B30" s="6" t="inlineStr">
        <is>
          <t>Fazenda Santa Maria</t>
        </is>
      </c>
      <c r="C30" s="6" t="n"/>
      <c r="D30" s="6" t="n"/>
    </row>
    <row r="31">
      <c r="A31" s="5" t="inlineStr">
        <is>
          <t>Onda Verde</t>
        </is>
      </c>
      <c r="B31" s="5" t="inlineStr">
        <is>
          <t>Fazenda Santa Cruz</t>
        </is>
      </c>
      <c r="C31" s="5" t="n"/>
      <c r="D31" s="5" t="n"/>
    </row>
    <row r="32">
      <c r="A32" s="6" t="inlineStr">
        <is>
          <t>Santo Antonio do Aracanguá</t>
        </is>
      </c>
      <c r="B32" s="6" t="inlineStr">
        <is>
          <t>Fazenda Conquista, Fazenda Vitória, Fazenda Santa Helena, Fazenda Primavera</t>
        </is>
      </c>
      <c r="C32" s="6" t="n"/>
      <c r="D32" s="6" t="n"/>
    </row>
    <row r="33">
      <c r="A33" s="5" t="inlineStr">
        <is>
          <t>Severínia</t>
        </is>
      </c>
      <c r="B33" s="5" t="inlineStr">
        <is>
          <t>Fazenda São José, Fazenda São Luiz, Sítio São José I</t>
        </is>
      </c>
      <c r="C33" s="5" t="n"/>
      <c r="D33" s="5" t="n"/>
    </row>
    <row r="34">
      <c r="A34" s="6" t="inlineStr">
        <is>
          <t>Sto Antonio do Aracanguá</t>
        </is>
      </c>
      <c r="B34" s="6" t="inlineStr">
        <is>
          <t>Fazenda Ipê</t>
        </is>
      </c>
      <c r="C34" s="6" t="n"/>
      <c r="D34" s="6" t="n"/>
    </row>
    <row r="35">
      <c r="A35" s="5" t="inlineStr">
        <is>
          <t>Teodoro Sampaio</t>
        </is>
      </c>
      <c r="B35" s="5" t="inlineStr">
        <is>
          <t>Fazenda Lago Azul</t>
        </is>
      </c>
      <c r="C35" s="5" t="n"/>
      <c r="D35" s="5" t="n"/>
    </row>
  </sheetData>
  <mergeCells count="2"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4168"/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1" customWidth="1" min="3" max="3"/>
    <col width="20" customWidth="1" min="4" max="4"/>
    <col width="26" customWidth="1" min="5" max="5"/>
    <col width="13" customWidth="1" min="6" max="6"/>
    <col width="14" customWidth="1" min="7" max="7"/>
    <col width="26" customWidth="1" min="8" max="8"/>
    <col width="15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12" customWidth="1" min="15" max="15"/>
    <col width="20" customWidth="1" min="16" max="16"/>
    <col width="18" customWidth="1" min="17" max="17"/>
    <col width="14" customWidth="1" min="18" max="18"/>
    <col width="44" customWidth="1" min="19" max="19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Tipo</t>
        </is>
      </c>
      <c r="D1" s="4" t="inlineStr">
        <is>
          <t>CCIR</t>
        </is>
      </c>
      <c r="E1" s="4" t="inlineStr">
        <is>
          <t>Matrículas</t>
        </is>
      </c>
      <c r="F1" s="4" t="inlineStr">
        <is>
          <t>Área Mat. (ha)</t>
        </is>
      </c>
      <c r="G1" s="4" t="inlineStr">
        <is>
          <t>Área Imóvel (ha)</t>
        </is>
      </c>
      <c r="H1" s="4" t="inlineStr">
        <is>
          <t>N° do CAR (principal)</t>
        </is>
      </c>
      <c r="I1" s="4" t="inlineStr">
        <is>
          <t>Situação do CAR</t>
        </is>
      </c>
      <c r="J1" s="4" t="inlineStr">
        <is>
          <t>Outorgas (qtd)</t>
        </is>
      </c>
      <c r="K1" s="4" t="inlineStr">
        <is>
          <t>Autos de Infração (qtd)</t>
        </is>
      </c>
      <c r="L1" s="4" t="inlineStr">
        <is>
          <t>TCRA / TAC (qtd)</t>
        </is>
      </c>
      <c r="M1" s="4" t="inlineStr">
        <is>
          <t>Processos CETESB (qtd)</t>
        </is>
      </c>
      <c r="N1" s="4" t="inlineStr">
        <is>
          <t>Incêndios (qtd)</t>
        </is>
      </c>
      <c r="O1" s="4" t="inlineStr">
        <is>
          <t>Licenciamentos (qtd)</t>
        </is>
      </c>
      <c r="P1" s="4" t="inlineStr">
        <is>
          <t>Status do levantamento</t>
        </is>
      </c>
      <c r="Q1" s="4" t="inlineStr">
        <is>
          <t>Responsável</t>
        </is>
      </c>
      <c r="R1" s="4" t="inlineStr">
        <is>
          <t>Data da consulta</t>
        </is>
      </c>
      <c r="S1" s="4" t="inlineStr">
        <is>
          <t>Observações</t>
        </is>
      </c>
    </row>
    <row r="2">
      <c r="A2" s="6" t="inlineStr">
        <is>
          <t>Fazenda Ipê</t>
        </is>
      </c>
      <c r="B2" s="6" t="inlineStr">
        <is>
          <t>Sto Antonio do Aracanguá</t>
        </is>
      </c>
      <c r="C2" s="6" t="inlineStr">
        <is>
          <t>Própria</t>
        </is>
      </c>
      <c r="D2" s="6" t="inlineStr">
        <is>
          <t>607.029.001.147-7</t>
        </is>
      </c>
      <c r="E2" s="6" t="inlineStr">
        <is>
          <t>5787</t>
        </is>
      </c>
      <c r="F2" s="9" t="n">
        <v>473.34</v>
      </c>
      <c r="G2" s="9" t="n">
        <v>473.34</v>
      </c>
      <c r="H2" s="10" t="n"/>
      <c r="I2" s="10" t="n"/>
      <c r="J2" s="6">
        <f>COUNTIF(Outorgas!$A:$A,$A2)</f>
        <v/>
      </c>
      <c r="K2" s="6">
        <f>COUNTIFS('Autos e TCRA'!$A:$A,$A2,'Autos e TCRA'!$D:$D,"Auto de Infração*")+COUNTIFS('Autos e TCRA'!$A:$A,$A2,'Autos e TCRA'!$D:$D,"Auto de Imposição*")</f>
        <v/>
      </c>
      <c r="L2" s="6">
        <f>COUNTIFS('Autos e TCRA'!$A:$A,$A2,'Autos e TCRA'!$D:$D,"TCRA")+COUNTIFS('Autos e TCRA'!$A:$A,$A2,'Autos e TCRA'!$D:$D,"TAC")</f>
        <v/>
      </c>
      <c r="M2" s="6">
        <f>COUNTIF('Processos CETESB'!$A:$A,$A2)</f>
        <v/>
      </c>
      <c r="N2" s="6">
        <f>COUNTIF(Incêndios!$A:$A,$A2)</f>
        <v/>
      </c>
      <c r="O2" s="6">
        <f>COUNTIF(Licenciamentos!$A:$A,$A2)</f>
        <v/>
      </c>
      <c r="P2" s="6" t="inlineStr">
        <is>
          <t>Não iniciado</t>
        </is>
      </c>
      <c r="Q2" s="6" t="n"/>
      <c r="R2" s="6" t="n"/>
      <c r="S2" s="6" t="n"/>
    </row>
    <row r="3">
      <c r="A3" s="5" t="inlineStr">
        <is>
          <t>Fazenda São Geraldo</t>
        </is>
      </c>
      <c r="B3" s="5" t="inlineStr">
        <is>
          <t>Colina</t>
        </is>
      </c>
      <c r="C3" s="5" t="inlineStr">
        <is>
          <t>Própria</t>
        </is>
      </c>
      <c r="D3" s="5" t="inlineStr">
        <is>
          <t>604.020.000.698-8</t>
        </is>
      </c>
      <c r="E3" s="5" t="inlineStr">
        <is>
          <t>176, 19852, 14036</t>
        </is>
      </c>
      <c r="F3" s="11" t="n">
        <v>534.3602</v>
      </c>
      <c r="G3" s="11" t="n">
        <v>534.3602</v>
      </c>
      <c r="H3" s="10" t="n"/>
      <c r="I3" s="10" t="n"/>
      <c r="J3" s="5">
        <f>COUNTIF(Outorgas!$A:$A,$A3)</f>
        <v/>
      </c>
      <c r="K3" s="5">
        <f>COUNTIFS('Autos e TCRA'!$A:$A,$A3,'Autos e TCRA'!$D:$D,"Auto de Infração*")+COUNTIFS('Autos e TCRA'!$A:$A,$A3,'Autos e TCRA'!$D:$D,"Auto de Imposição*")</f>
        <v/>
      </c>
      <c r="L3" s="5">
        <f>COUNTIFS('Autos e TCRA'!$A:$A,$A3,'Autos e TCRA'!$D:$D,"TCRA")+COUNTIFS('Autos e TCRA'!$A:$A,$A3,'Autos e TCRA'!$D:$D,"TAC")</f>
        <v/>
      </c>
      <c r="M3" s="5">
        <f>COUNTIF('Processos CETESB'!$A:$A,$A3)</f>
        <v/>
      </c>
      <c r="N3" s="5">
        <f>COUNTIF(Incêndios!$A:$A,$A3)</f>
        <v/>
      </c>
      <c r="O3" s="5">
        <f>COUNTIF(Licenciamentos!$A:$A,$A3)</f>
        <v/>
      </c>
      <c r="P3" s="5" t="inlineStr">
        <is>
          <t>Não iniciado</t>
        </is>
      </c>
      <c r="Q3" s="5" t="n"/>
      <c r="R3" s="5" t="n"/>
      <c r="S3" s="5" t="n"/>
    </row>
    <row r="4">
      <c r="A4" s="6" t="inlineStr">
        <is>
          <t>Fazenda Conquista</t>
        </is>
      </c>
      <c r="B4" s="6" t="inlineStr">
        <is>
          <t>Santo Antonio do Aracanguá</t>
        </is>
      </c>
      <c r="C4" s="6" t="inlineStr">
        <is>
          <t>Própria</t>
        </is>
      </c>
      <c r="D4" s="6" t="inlineStr">
        <is>
          <t>607.029.011.673-2</t>
        </is>
      </c>
      <c r="E4" s="6" t="inlineStr">
        <is>
          <t>73291, 696, 41325, 41326, 41327</t>
        </is>
      </c>
      <c r="F4" s="9" t="n">
        <v>1136.7708</v>
      </c>
      <c r="G4" s="9" t="n">
        <v>1136.7708</v>
      </c>
      <c r="H4" s="10" t="n"/>
      <c r="I4" s="10" t="n"/>
      <c r="J4" s="6">
        <f>COUNTIF(Outorgas!$A:$A,$A4)</f>
        <v/>
      </c>
      <c r="K4" s="6">
        <f>COUNTIFS('Autos e TCRA'!$A:$A,$A4,'Autos e TCRA'!$D:$D,"Auto de Infração*")+COUNTIFS('Autos e TCRA'!$A:$A,$A4,'Autos e TCRA'!$D:$D,"Auto de Imposição*")</f>
        <v/>
      </c>
      <c r="L4" s="6">
        <f>COUNTIFS('Autos e TCRA'!$A:$A,$A4,'Autos e TCRA'!$D:$D,"TCRA")+COUNTIFS('Autos e TCRA'!$A:$A,$A4,'Autos e TCRA'!$D:$D,"TAC")</f>
        <v/>
      </c>
      <c r="M4" s="6">
        <f>COUNTIF('Processos CETESB'!$A:$A,$A4)</f>
        <v/>
      </c>
      <c r="N4" s="6">
        <f>COUNTIF(Incêndios!$A:$A,$A4)</f>
        <v/>
      </c>
      <c r="O4" s="6">
        <f>COUNTIF(Licenciamentos!$A:$A,$A4)</f>
        <v/>
      </c>
      <c r="P4" s="6" t="inlineStr">
        <is>
          <t>Não iniciado</t>
        </is>
      </c>
      <c r="Q4" s="6" t="n"/>
      <c r="R4" s="6" t="n"/>
      <c r="S4" s="6" t="n"/>
    </row>
    <row r="5">
      <c r="A5" s="5" t="inlineStr">
        <is>
          <t>Fazenda Santo Antonio</t>
        </is>
      </c>
      <c r="B5" s="5" t="inlineStr">
        <is>
          <t>Guapiaçu</t>
        </is>
      </c>
      <c r="C5" s="5" t="inlineStr">
        <is>
          <t>Própria</t>
        </is>
      </c>
      <c r="D5" s="5" t="inlineStr">
        <is>
          <t>610.046.259.063-2</t>
        </is>
      </c>
      <c r="E5" s="5" t="inlineStr">
        <is>
          <t>38971, 10632</t>
        </is>
      </c>
      <c r="F5" s="11" t="n">
        <v>2087.6581</v>
      </c>
      <c r="G5" s="11" t="n">
        <v>2087.6581</v>
      </c>
      <c r="H5" s="10" t="n"/>
      <c r="I5" s="10" t="n"/>
      <c r="J5" s="5">
        <f>COUNTIF(Outorgas!$A:$A,$A5)</f>
        <v/>
      </c>
      <c r="K5" s="5">
        <f>COUNTIFS('Autos e TCRA'!$A:$A,$A5,'Autos e TCRA'!$D:$D,"Auto de Infração*")+COUNTIFS('Autos e TCRA'!$A:$A,$A5,'Autos e TCRA'!$D:$D,"Auto de Imposição*")</f>
        <v/>
      </c>
      <c r="L5" s="5">
        <f>COUNTIFS('Autos e TCRA'!$A:$A,$A5,'Autos e TCRA'!$D:$D,"TCRA")+COUNTIFS('Autos e TCRA'!$A:$A,$A5,'Autos e TCRA'!$D:$D,"TAC")</f>
        <v/>
      </c>
      <c r="M5" s="5">
        <f>COUNTIF('Processos CETESB'!$A:$A,$A5)</f>
        <v/>
      </c>
      <c r="N5" s="5">
        <f>COUNTIF(Incêndios!$A:$A,$A5)</f>
        <v/>
      </c>
      <c r="O5" s="5">
        <f>COUNTIF(Licenciamentos!$A:$A,$A5)</f>
        <v/>
      </c>
      <c r="P5" s="5" t="inlineStr">
        <is>
          <t>Não iniciado</t>
        </is>
      </c>
      <c r="Q5" s="5" t="n"/>
      <c r="R5" s="5" t="n"/>
      <c r="S5" s="5" t="n"/>
    </row>
    <row r="6">
      <c r="A6" s="6" t="inlineStr">
        <is>
          <t>Fazenda Alvorada</t>
        </is>
      </c>
      <c r="B6" s="6" t="inlineStr">
        <is>
          <t>Altair</t>
        </is>
      </c>
      <c r="C6" s="6" t="inlineStr">
        <is>
          <t>Própria</t>
        </is>
      </c>
      <c r="D6" s="6" t="inlineStr">
        <is>
          <t>603.015.001.104-1</t>
        </is>
      </c>
      <c r="E6" s="6" t="inlineStr">
        <is>
          <t>7430, 44121, 44122, 44123, 44124</t>
        </is>
      </c>
      <c r="F6" s="9" t="n">
        <v>679.2288</v>
      </c>
      <c r="G6" s="9" t="n">
        <v>679.2288</v>
      </c>
      <c r="H6" s="10" t="n"/>
      <c r="I6" s="10" t="n"/>
      <c r="J6" s="6">
        <f>COUNTIF(Outorgas!$A:$A,$A6)</f>
        <v/>
      </c>
      <c r="K6" s="6">
        <f>COUNTIFS('Autos e TCRA'!$A:$A,$A6,'Autos e TCRA'!$D:$D,"Auto de Infração*")+COUNTIFS('Autos e TCRA'!$A:$A,$A6,'Autos e TCRA'!$D:$D,"Auto de Imposição*")</f>
        <v/>
      </c>
      <c r="L6" s="6">
        <f>COUNTIFS('Autos e TCRA'!$A:$A,$A6,'Autos e TCRA'!$D:$D,"TCRA")+COUNTIFS('Autos e TCRA'!$A:$A,$A6,'Autos e TCRA'!$D:$D,"TAC")</f>
        <v/>
      </c>
      <c r="M6" s="6">
        <f>COUNTIF('Processos CETESB'!$A:$A,$A6)</f>
        <v/>
      </c>
      <c r="N6" s="6">
        <f>COUNTIF(Incêndios!$A:$A,$A6)</f>
        <v/>
      </c>
      <c r="O6" s="6">
        <f>COUNTIF(Licenciamentos!$A:$A,$A6)</f>
        <v/>
      </c>
      <c r="P6" s="6" t="inlineStr">
        <is>
          <t>Não iniciado</t>
        </is>
      </c>
      <c r="Q6" s="6" t="n"/>
      <c r="R6" s="6" t="n"/>
      <c r="S6" s="6" t="n"/>
    </row>
    <row r="7">
      <c r="A7" s="5" t="inlineStr">
        <is>
          <t>Fazenda Santa Inacia</t>
        </is>
      </c>
      <c r="B7" s="5" t="inlineStr">
        <is>
          <t>Colina</t>
        </is>
      </c>
      <c r="C7" s="5" t="inlineStr">
        <is>
          <t>Própria</t>
        </is>
      </c>
      <c r="D7" s="5" t="inlineStr">
        <is>
          <t>604.020.001.457-3</t>
        </is>
      </c>
      <c r="E7" s="5" t="inlineStr">
        <is>
          <t>14892</t>
        </is>
      </c>
      <c r="F7" s="11" t="n">
        <v>522.5</v>
      </c>
      <c r="G7" s="11" t="n">
        <v>522.5</v>
      </c>
      <c r="H7" s="10" t="n"/>
      <c r="I7" s="10" t="n"/>
      <c r="J7" s="5">
        <f>COUNTIF(Outorgas!$A:$A,$A7)</f>
        <v/>
      </c>
      <c r="K7" s="5">
        <f>COUNTIFS('Autos e TCRA'!$A:$A,$A7,'Autos e TCRA'!$D:$D,"Auto de Infração*")+COUNTIFS('Autos e TCRA'!$A:$A,$A7,'Autos e TCRA'!$D:$D,"Auto de Imposição*")</f>
        <v/>
      </c>
      <c r="L7" s="5">
        <f>COUNTIFS('Autos e TCRA'!$A:$A,$A7,'Autos e TCRA'!$D:$D,"TCRA")+COUNTIFS('Autos e TCRA'!$A:$A,$A7,'Autos e TCRA'!$D:$D,"TAC")</f>
        <v/>
      </c>
      <c r="M7" s="5">
        <f>COUNTIF('Processos CETESB'!$A:$A,$A7)</f>
        <v/>
      </c>
      <c r="N7" s="5">
        <f>COUNTIF(Incêndios!$A:$A,$A7)</f>
        <v/>
      </c>
      <c r="O7" s="5">
        <f>COUNTIF(Licenciamentos!$A:$A,$A7)</f>
        <v/>
      </c>
      <c r="P7" s="5" t="inlineStr">
        <is>
          <t>Não iniciado</t>
        </is>
      </c>
      <c r="Q7" s="5" t="n"/>
      <c r="R7" s="5" t="n"/>
      <c r="S7" s="5" t="n"/>
    </row>
    <row r="8">
      <c r="A8" s="6" t="inlineStr">
        <is>
          <t>Fazenda Iracema</t>
        </is>
      </c>
      <c r="B8" s="6" t="inlineStr">
        <is>
          <t>Colina</t>
        </is>
      </c>
      <c r="C8" s="6" t="inlineStr">
        <is>
          <t>Própria</t>
        </is>
      </c>
      <c r="D8" s="6" t="inlineStr">
        <is>
          <t>604.020.001.449-2</t>
        </is>
      </c>
      <c r="E8" s="6" t="inlineStr">
        <is>
          <t>10319</t>
        </is>
      </c>
      <c r="F8" s="9" t="n">
        <v>550.99</v>
      </c>
      <c r="G8" s="9" t="n">
        <v>550.99</v>
      </c>
      <c r="H8" s="10" t="n"/>
      <c r="I8" s="10" t="n"/>
      <c r="J8" s="6">
        <f>COUNTIF(Outorgas!$A:$A,$A8)</f>
        <v/>
      </c>
      <c r="K8" s="6">
        <f>COUNTIFS('Autos e TCRA'!$A:$A,$A8,'Autos e TCRA'!$D:$D,"Auto de Infração*")+COUNTIFS('Autos e TCRA'!$A:$A,$A8,'Autos e TCRA'!$D:$D,"Auto de Imposição*")</f>
        <v/>
      </c>
      <c r="L8" s="6">
        <f>COUNTIFS('Autos e TCRA'!$A:$A,$A8,'Autos e TCRA'!$D:$D,"TCRA")+COUNTIFS('Autos e TCRA'!$A:$A,$A8,'Autos e TCRA'!$D:$D,"TAC")</f>
        <v/>
      </c>
      <c r="M8" s="6">
        <f>COUNTIF('Processos CETESB'!$A:$A,$A8)</f>
        <v/>
      </c>
      <c r="N8" s="6">
        <f>COUNTIF(Incêndios!$A:$A,$A8)</f>
        <v/>
      </c>
      <c r="O8" s="6">
        <f>COUNTIF(Licenciamentos!$A:$A,$A8)</f>
        <v/>
      </c>
      <c r="P8" s="6" t="inlineStr">
        <is>
          <t>Não iniciado</t>
        </is>
      </c>
      <c r="Q8" s="6" t="n"/>
      <c r="R8" s="6" t="n"/>
      <c r="S8" s="6" t="n"/>
    </row>
    <row r="9">
      <c r="A9" s="5" t="inlineStr">
        <is>
          <t>Fazenda Vitória</t>
        </is>
      </c>
      <c r="B9" s="5" t="inlineStr">
        <is>
          <t>Santo Antonio do Aracanguá</t>
        </is>
      </c>
      <c r="C9" s="5" t="inlineStr">
        <is>
          <t>Própria</t>
        </is>
      </c>
      <c r="D9" s="5" t="inlineStr">
        <is>
          <t>999.989.600.148-5</t>
        </is>
      </c>
      <c r="E9" s="5" t="inlineStr">
        <is>
          <t>45933, 45932, 49159, 3201</t>
        </is>
      </c>
      <c r="F9" s="11" t="n">
        <v>386.0636</v>
      </c>
      <c r="G9" s="11" t="n">
        <v>386.0636</v>
      </c>
      <c r="H9" s="10" t="n"/>
      <c r="I9" s="10" t="n"/>
      <c r="J9" s="5">
        <f>COUNTIF(Outorgas!$A:$A,$A9)</f>
        <v/>
      </c>
      <c r="K9" s="5">
        <f>COUNTIFS('Autos e TCRA'!$A:$A,$A9,'Autos e TCRA'!$D:$D,"Auto de Infração*")+COUNTIFS('Autos e TCRA'!$A:$A,$A9,'Autos e TCRA'!$D:$D,"Auto de Imposição*")</f>
        <v/>
      </c>
      <c r="L9" s="5">
        <f>COUNTIFS('Autos e TCRA'!$A:$A,$A9,'Autos e TCRA'!$D:$D,"TCRA")+COUNTIFS('Autos e TCRA'!$A:$A,$A9,'Autos e TCRA'!$D:$D,"TAC")</f>
        <v/>
      </c>
      <c r="M9" s="5">
        <f>COUNTIF('Processos CETESB'!$A:$A,$A9)</f>
        <v/>
      </c>
      <c r="N9" s="5">
        <f>COUNTIF(Incêndios!$A:$A,$A9)</f>
        <v/>
      </c>
      <c r="O9" s="5">
        <f>COUNTIF(Licenciamentos!$A:$A,$A9)</f>
        <v/>
      </c>
      <c r="P9" s="5" t="inlineStr">
        <is>
          <t>Não iniciado</t>
        </is>
      </c>
      <c r="Q9" s="5" t="n"/>
      <c r="R9" s="5" t="n"/>
      <c r="S9" s="5" t="n"/>
    </row>
    <row r="10">
      <c r="A10" s="6" t="inlineStr">
        <is>
          <t>Fazenda Santa Helena</t>
        </is>
      </c>
      <c r="B10" s="6" t="inlineStr">
        <is>
          <t>Santo Antonio do Aracanguá</t>
        </is>
      </c>
      <c r="C10" s="6" t="inlineStr">
        <is>
          <t>Própria</t>
        </is>
      </c>
      <c r="D10" s="6" t="inlineStr">
        <is>
          <t>617.016.010.375-7</t>
        </is>
      </c>
      <c r="E10" s="6" t="inlineStr">
        <is>
          <t>37883, 37882</t>
        </is>
      </c>
      <c r="F10" s="9" t="n">
        <v>338.8</v>
      </c>
      <c r="G10" s="9" t="n">
        <v>338.8</v>
      </c>
      <c r="H10" s="10" t="n"/>
      <c r="I10" s="10" t="n"/>
      <c r="J10" s="6">
        <f>COUNTIF(Outorgas!$A:$A,$A10)</f>
        <v/>
      </c>
      <c r="K10" s="6">
        <f>COUNTIFS('Autos e TCRA'!$A:$A,$A10,'Autos e TCRA'!$D:$D,"Auto de Infração*")+COUNTIFS('Autos e TCRA'!$A:$A,$A10,'Autos e TCRA'!$D:$D,"Auto de Imposição*")</f>
        <v/>
      </c>
      <c r="L10" s="6">
        <f>COUNTIFS('Autos e TCRA'!$A:$A,$A10,'Autos e TCRA'!$D:$D,"TCRA")+COUNTIFS('Autos e TCRA'!$A:$A,$A10,'Autos e TCRA'!$D:$D,"TAC")</f>
        <v/>
      </c>
      <c r="M10" s="6">
        <f>COUNTIF('Processos CETESB'!$A:$A,$A10)</f>
        <v/>
      </c>
      <c r="N10" s="6">
        <f>COUNTIF(Incêndios!$A:$A,$A10)</f>
        <v/>
      </c>
      <c r="O10" s="6">
        <f>COUNTIF(Licenciamentos!$A:$A,$A10)</f>
        <v/>
      </c>
      <c r="P10" s="6" t="inlineStr">
        <is>
          <t>Não iniciado</t>
        </is>
      </c>
      <c r="Q10" s="6" t="n"/>
      <c r="R10" s="6" t="n"/>
      <c r="S10" s="6" t="n"/>
    </row>
    <row r="11">
      <c r="A11" s="5" t="inlineStr">
        <is>
          <t>Fazenda São José</t>
        </is>
      </c>
      <c r="B11" s="5" t="inlineStr">
        <is>
          <t>Severínia</t>
        </is>
      </c>
      <c r="C11" s="5" t="inlineStr">
        <is>
          <t>Própria</t>
        </is>
      </c>
      <c r="D11" s="5" t="inlineStr">
        <is>
          <t>611.131.001.260-0</t>
        </is>
      </c>
      <c r="E11" s="5" t="inlineStr">
        <is>
          <t>7207</t>
        </is>
      </c>
      <c r="F11" s="11" t="n">
        <v>519.332</v>
      </c>
      <c r="G11" s="11" t="n">
        <v>519.332</v>
      </c>
      <c r="H11" s="10" t="n"/>
      <c r="I11" s="10" t="n"/>
      <c r="J11" s="5">
        <f>COUNTIF(Outorgas!$A:$A,$A11)</f>
        <v/>
      </c>
      <c r="K11" s="5">
        <f>COUNTIFS('Autos e TCRA'!$A:$A,$A11,'Autos e TCRA'!$D:$D,"Auto de Infração*")+COUNTIFS('Autos e TCRA'!$A:$A,$A11,'Autos e TCRA'!$D:$D,"Auto de Imposição*")</f>
        <v/>
      </c>
      <c r="L11" s="5">
        <f>COUNTIFS('Autos e TCRA'!$A:$A,$A11,'Autos e TCRA'!$D:$D,"TCRA")+COUNTIFS('Autos e TCRA'!$A:$A,$A11,'Autos e TCRA'!$D:$D,"TAC")</f>
        <v/>
      </c>
      <c r="M11" s="5">
        <f>COUNTIF('Processos CETESB'!$A:$A,$A11)</f>
        <v/>
      </c>
      <c r="N11" s="5">
        <f>COUNTIF(Incêndios!$A:$A,$A11)</f>
        <v/>
      </c>
      <c r="O11" s="5">
        <f>COUNTIF(Licenciamentos!$A:$A,$A11)</f>
        <v/>
      </c>
      <c r="P11" s="5" t="inlineStr">
        <is>
          <t>Não iniciado</t>
        </is>
      </c>
      <c r="Q11" s="5" t="n"/>
      <c r="R11" s="5" t="n"/>
      <c r="S11" s="5" t="n"/>
    </row>
    <row r="12">
      <c r="A12" s="6" t="inlineStr">
        <is>
          <t>Fazenda São Luiz</t>
        </is>
      </c>
      <c r="B12" s="6" t="inlineStr">
        <is>
          <t>Severínia</t>
        </is>
      </c>
      <c r="C12" s="6" t="inlineStr">
        <is>
          <t>Própria</t>
        </is>
      </c>
      <c r="D12" s="6" t="inlineStr">
        <is>
          <t>611.131.000.710-0</t>
        </is>
      </c>
      <c r="E12" s="6" t="inlineStr">
        <is>
          <t>24047, 30714, 12236, 12237, 6710, 24932</t>
        </is>
      </c>
      <c r="F12" s="9" t="n">
        <v>612.0771999999999</v>
      </c>
      <c r="G12" s="9" t="n">
        <v>612.0771999999999</v>
      </c>
      <c r="H12" s="10" t="n"/>
      <c r="I12" s="10" t="n"/>
      <c r="J12" s="6">
        <f>COUNTIF(Outorgas!$A:$A,$A12)</f>
        <v/>
      </c>
      <c r="K12" s="6">
        <f>COUNTIFS('Autos e TCRA'!$A:$A,$A12,'Autos e TCRA'!$D:$D,"Auto de Infração*")+COUNTIFS('Autos e TCRA'!$A:$A,$A12,'Autos e TCRA'!$D:$D,"Auto de Imposição*")</f>
        <v/>
      </c>
      <c r="L12" s="6">
        <f>COUNTIFS('Autos e TCRA'!$A:$A,$A12,'Autos e TCRA'!$D:$D,"TCRA")+COUNTIFS('Autos e TCRA'!$A:$A,$A12,'Autos e TCRA'!$D:$D,"TAC")</f>
        <v/>
      </c>
      <c r="M12" s="6">
        <f>COUNTIF('Processos CETESB'!$A:$A,$A12)</f>
        <v/>
      </c>
      <c r="N12" s="6">
        <f>COUNTIF(Incêndios!$A:$A,$A12)</f>
        <v/>
      </c>
      <c r="O12" s="6">
        <f>COUNTIF(Licenciamentos!$A:$A,$A12)</f>
        <v/>
      </c>
      <c r="P12" s="6" t="inlineStr">
        <is>
          <t>Não iniciado</t>
        </is>
      </c>
      <c r="Q12" s="6" t="n"/>
      <c r="R12" s="6" t="n"/>
      <c r="S12" s="6" t="n"/>
    </row>
    <row r="13">
      <c r="A13" s="5" t="inlineStr">
        <is>
          <t>Sítio São José I</t>
        </is>
      </c>
      <c r="B13" s="5" t="inlineStr">
        <is>
          <t>Severínia</t>
        </is>
      </c>
      <c r="C13" s="5" t="inlineStr">
        <is>
          <t>Própria</t>
        </is>
      </c>
      <c r="D13" s="5" t="inlineStr">
        <is>
          <t>611.131.000.612-0</t>
        </is>
      </c>
      <c r="E13" s="5" t="inlineStr">
        <is>
          <t>417</t>
        </is>
      </c>
      <c r="F13" s="11" t="n">
        <v>16.94</v>
      </c>
      <c r="G13" s="11" t="n">
        <v>16.94</v>
      </c>
      <c r="H13" s="10" t="n"/>
      <c r="I13" s="10" t="n"/>
      <c r="J13" s="5">
        <f>COUNTIF(Outorgas!$A:$A,$A13)</f>
        <v/>
      </c>
      <c r="K13" s="5">
        <f>COUNTIFS('Autos e TCRA'!$A:$A,$A13,'Autos e TCRA'!$D:$D,"Auto de Infração*")+COUNTIFS('Autos e TCRA'!$A:$A,$A13,'Autos e TCRA'!$D:$D,"Auto de Imposição*")</f>
        <v/>
      </c>
      <c r="L13" s="5">
        <f>COUNTIFS('Autos e TCRA'!$A:$A,$A13,'Autos e TCRA'!$D:$D,"TCRA")+COUNTIFS('Autos e TCRA'!$A:$A,$A13,'Autos e TCRA'!$D:$D,"TAC")</f>
        <v/>
      </c>
      <c r="M13" s="5">
        <f>COUNTIF('Processos CETESB'!$A:$A,$A13)</f>
        <v/>
      </c>
      <c r="N13" s="5">
        <f>COUNTIF(Incêndios!$A:$A,$A13)</f>
        <v/>
      </c>
      <c r="O13" s="5">
        <f>COUNTIF(Licenciamentos!$A:$A,$A13)</f>
        <v/>
      </c>
      <c r="P13" s="5" t="inlineStr">
        <is>
          <t>Não iniciado</t>
        </is>
      </c>
      <c r="Q13" s="5" t="n"/>
      <c r="R13" s="5" t="n"/>
      <c r="S13" s="5" t="n"/>
    </row>
    <row r="14">
      <c r="A14" s="6" t="inlineStr">
        <is>
          <t>Fazenda Santa Rosa</t>
        </is>
      </c>
      <c r="B14" s="6" t="inlineStr">
        <is>
          <t>Altair</t>
        </is>
      </c>
      <c r="C14" s="6" t="inlineStr">
        <is>
          <t>Própria</t>
        </is>
      </c>
      <c r="D14" s="6" t="inlineStr">
        <is>
          <t>636.061.049.859-9</t>
        </is>
      </c>
      <c r="E14" s="6" t="inlineStr">
        <is>
          <t>18300</t>
        </is>
      </c>
      <c r="F14" s="9" t="n">
        <v>1285.0442</v>
      </c>
      <c r="G14" s="9" t="n">
        <v>1285.0442</v>
      </c>
      <c r="H14" s="10" t="n"/>
      <c r="I14" s="10" t="n"/>
      <c r="J14" s="6">
        <f>COUNTIF(Outorgas!$A:$A,$A14)</f>
        <v/>
      </c>
      <c r="K14" s="6">
        <f>COUNTIFS('Autos e TCRA'!$A:$A,$A14,'Autos e TCRA'!$D:$D,"Auto de Infração*")+COUNTIFS('Autos e TCRA'!$A:$A,$A14,'Autos e TCRA'!$D:$D,"Auto de Imposição*")</f>
        <v/>
      </c>
      <c r="L14" s="6">
        <f>COUNTIFS('Autos e TCRA'!$A:$A,$A14,'Autos e TCRA'!$D:$D,"TCRA")+COUNTIFS('Autos e TCRA'!$A:$A,$A14,'Autos e TCRA'!$D:$D,"TAC")</f>
        <v/>
      </c>
      <c r="M14" s="6">
        <f>COUNTIF('Processos CETESB'!$A:$A,$A14)</f>
        <v/>
      </c>
      <c r="N14" s="6">
        <f>COUNTIF(Incêndios!$A:$A,$A14)</f>
        <v/>
      </c>
      <c r="O14" s="6">
        <f>COUNTIF(Licenciamentos!$A:$A,$A14)</f>
        <v/>
      </c>
      <c r="P14" s="6" t="inlineStr">
        <is>
          <t>Não iniciado</t>
        </is>
      </c>
      <c r="Q14" s="6" t="n"/>
      <c r="R14" s="6" t="n"/>
      <c r="S14" s="6" t="n"/>
    </row>
    <row r="15">
      <c r="A15" s="5" t="inlineStr">
        <is>
          <t>Fazenda Santa Cruz</t>
        </is>
      </c>
      <c r="B15" s="5" t="inlineStr">
        <is>
          <t>Onda Verde</t>
        </is>
      </c>
      <c r="C15" s="5" t="inlineStr">
        <is>
          <t>Própria</t>
        </is>
      </c>
      <c r="D15" s="5" t="inlineStr">
        <is>
          <t>610.119.000.620-7</t>
        </is>
      </c>
      <c r="E15" s="5" t="inlineStr">
        <is>
          <t>1469</t>
        </is>
      </c>
      <c r="F15" s="11" t="n">
        <v>91.95999999999999</v>
      </c>
      <c r="G15" s="11" t="n">
        <v>91.95999999999999</v>
      </c>
      <c r="H15" s="10" t="n"/>
      <c r="I15" s="10" t="n"/>
      <c r="J15" s="5">
        <f>COUNTIF(Outorgas!$A:$A,$A15)</f>
        <v/>
      </c>
      <c r="K15" s="5">
        <f>COUNTIFS('Autos e TCRA'!$A:$A,$A15,'Autos e TCRA'!$D:$D,"Auto de Infração*")+COUNTIFS('Autos e TCRA'!$A:$A,$A15,'Autos e TCRA'!$D:$D,"Auto de Imposição*")</f>
        <v/>
      </c>
      <c r="L15" s="5">
        <f>COUNTIFS('Autos e TCRA'!$A:$A,$A15,'Autos e TCRA'!$D:$D,"TCRA")+COUNTIFS('Autos e TCRA'!$A:$A,$A15,'Autos e TCRA'!$D:$D,"TAC")</f>
        <v/>
      </c>
      <c r="M15" s="5">
        <f>COUNTIF('Processos CETESB'!$A:$A,$A15)</f>
        <v/>
      </c>
      <c r="N15" s="5">
        <f>COUNTIF(Incêndios!$A:$A,$A15)</f>
        <v/>
      </c>
      <c r="O15" s="5">
        <f>COUNTIF(Licenciamentos!$A:$A,$A15)</f>
        <v/>
      </c>
      <c r="P15" s="5" t="inlineStr">
        <is>
          <t>Não iniciado</t>
        </is>
      </c>
      <c r="Q15" s="5" t="n"/>
      <c r="R15" s="5" t="n"/>
      <c r="S15" s="5" t="n"/>
    </row>
    <row r="16">
      <c r="A16" s="6" t="inlineStr">
        <is>
          <t>Fazenda Santa Maria</t>
        </is>
      </c>
      <c r="B16" s="6" t="inlineStr">
        <is>
          <t>Monte Azul Paulista</t>
        </is>
      </c>
      <c r="C16" s="6" t="inlineStr">
        <is>
          <t>Própria</t>
        </is>
      </c>
      <c r="D16" s="6" t="inlineStr">
        <is>
          <t>612.073.001.678-3</t>
        </is>
      </c>
      <c r="E16" s="6" t="inlineStr">
        <is>
          <t>119</t>
        </is>
      </c>
      <c r="F16" s="9" t="n">
        <v>341.22</v>
      </c>
      <c r="G16" s="9" t="n">
        <v>341.22</v>
      </c>
      <c r="H16" s="10" t="n"/>
      <c r="I16" s="10" t="n"/>
      <c r="J16" s="6">
        <f>COUNTIF(Outorgas!$A:$A,$A16)</f>
        <v/>
      </c>
      <c r="K16" s="6">
        <f>COUNTIFS('Autos e TCRA'!$A:$A,$A16,'Autos e TCRA'!$D:$D,"Auto de Infração*")+COUNTIFS('Autos e TCRA'!$A:$A,$A16,'Autos e TCRA'!$D:$D,"Auto de Imposição*")</f>
        <v/>
      </c>
      <c r="L16" s="6">
        <f>COUNTIFS('Autos e TCRA'!$A:$A,$A16,'Autos e TCRA'!$D:$D,"TCRA")+COUNTIFS('Autos e TCRA'!$A:$A,$A16,'Autos e TCRA'!$D:$D,"TAC")</f>
        <v/>
      </c>
      <c r="M16" s="6">
        <f>COUNTIF('Processos CETESB'!$A:$A,$A16)</f>
        <v/>
      </c>
      <c r="N16" s="6">
        <f>COUNTIF(Incêndios!$A:$A,$A16)</f>
        <v/>
      </c>
      <c r="O16" s="6">
        <f>COUNTIF(Licenciamentos!$A:$A,$A16)</f>
        <v/>
      </c>
      <c r="P16" s="6" t="inlineStr">
        <is>
          <t>Não iniciado</t>
        </is>
      </c>
      <c r="Q16" s="6" t="n"/>
      <c r="R16" s="6" t="n"/>
      <c r="S16" s="6" t="n"/>
    </row>
    <row r="17">
      <c r="A17" s="5" t="inlineStr">
        <is>
          <t>Fazenda São João</t>
        </is>
      </c>
      <c r="B17" s="5" t="inlineStr">
        <is>
          <t>Guaraci</t>
        </is>
      </c>
      <c r="C17" s="5" t="inlineStr">
        <is>
          <t>Própria</t>
        </is>
      </c>
      <c r="D17" s="5" t="inlineStr">
        <is>
          <t>999.954.021.474-3</t>
        </is>
      </c>
      <c r="E17" s="5" t="inlineStr">
        <is>
          <t>45390, 28886, 28885</t>
        </is>
      </c>
      <c r="F17" s="11" t="n">
        <v>1813.887</v>
      </c>
      <c r="G17" s="11" t="n">
        <v>1813.887</v>
      </c>
      <c r="H17" s="10" t="n"/>
      <c r="I17" s="10" t="n"/>
      <c r="J17" s="5">
        <f>COUNTIF(Outorgas!$A:$A,$A17)</f>
        <v/>
      </c>
      <c r="K17" s="5">
        <f>COUNTIFS('Autos e TCRA'!$A:$A,$A17,'Autos e TCRA'!$D:$D,"Auto de Infração*")+COUNTIFS('Autos e TCRA'!$A:$A,$A17,'Autos e TCRA'!$D:$D,"Auto de Imposição*")</f>
        <v/>
      </c>
      <c r="L17" s="5">
        <f>COUNTIFS('Autos e TCRA'!$A:$A,$A17,'Autos e TCRA'!$D:$D,"TCRA")+COUNTIFS('Autos e TCRA'!$A:$A,$A17,'Autos e TCRA'!$D:$D,"TAC")</f>
        <v/>
      </c>
      <c r="M17" s="5">
        <f>COUNTIF('Processos CETESB'!$A:$A,$A17)</f>
        <v/>
      </c>
      <c r="N17" s="5">
        <f>COUNTIF(Incêndios!$A:$A,$A17)</f>
        <v/>
      </c>
      <c r="O17" s="5">
        <f>COUNTIF(Licenciamentos!$A:$A,$A17)</f>
        <v/>
      </c>
      <c r="P17" s="5" t="inlineStr">
        <is>
          <t>Não iniciado</t>
        </is>
      </c>
      <c r="Q17" s="5" t="n"/>
      <c r="R17" s="5" t="n"/>
      <c r="S17" s="5" t="n"/>
    </row>
    <row r="18">
      <c r="A18" s="6" t="inlineStr">
        <is>
          <t>Fazenda Primavera</t>
        </is>
      </c>
      <c r="B18" s="6" t="inlineStr">
        <is>
          <t>Santo Antonio do Aracanguá</t>
        </is>
      </c>
      <c r="C18" s="6" t="inlineStr">
        <is>
          <t>Própria</t>
        </is>
      </c>
      <c r="D18" s="6" t="inlineStr">
        <is>
          <t>617.016.010.383-8</t>
        </is>
      </c>
      <c r="E18" s="6" t="inlineStr">
        <is>
          <t>31031, 30980, 37741</t>
        </is>
      </c>
      <c r="F18" s="9" t="n">
        <v>2162.5182</v>
      </c>
      <c r="G18" s="9" t="n">
        <v>2162.5182</v>
      </c>
      <c r="H18" s="10" t="n"/>
      <c r="I18" s="10" t="n"/>
      <c r="J18" s="6">
        <f>COUNTIF(Outorgas!$A:$A,$A18)</f>
        <v/>
      </c>
      <c r="K18" s="6">
        <f>COUNTIFS('Autos e TCRA'!$A:$A,$A18,'Autos e TCRA'!$D:$D,"Auto de Infração*")+COUNTIFS('Autos e TCRA'!$A:$A,$A18,'Autos e TCRA'!$D:$D,"Auto de Imposição*")</f>
        <v/>
      </c>
      <c r="L18" s="6">
        <f>COUNTIFS('Autos e TCRA'!$A:$A,$A18,'Autos e TCRA'!$D:$D,"TCRA")+COUNTIFS('Autos e TCRA'!$A:$A,$A18,'Autos e TCRA'!$D:$D,"TAC")</f>
        <v/>
      </c>
      <c r="M18" s="6">
        <f>COUNTIF('Processos CETESB'!$A:$A,$A18)</f>
        <v/>
      </c>
      <c r="N18" s="6">
        <f>COUNTIF(Incêndios!$A:$A,$A18)</f>
        <v/>
      </c>
      <c r="O18" s="6">
        <f>COUNTIF(Licenciamentos!$A:$A,$A18)</f>
        <v/>
      </c>
      <c r="P18" s="6" t="inlineStr">
        <is>
          <t>Não iniciado</t>
        </is>
      </c>
      <c r="Q18" s="6" t="n"/>
      <c r="R18" s="6" t="n"/>
      <c r="S18" s="6" t="n"/>
    </row>
    <row r="19">
      <c r="A19" s="5" t="inlineStr">
        <is>
          <t>Fazenda São Pedro</t>
        </is>
      </c>
      <c r="B19" s="5" t="inlineStr">
        <is>
          <t>Altair</t>
        </is>
      </c>
      <c r="C19" s="5" t="inlineStr">
        <is>
          <t>Própria</t>
        </is>
      </c>
      <c r="D19" s="5" t="inlineStr">
        <is>
          <t>603.015.000.582-3</t>
        </is>
      </c>
      <c r="E19" s="5" t="inlineStr">
        <is>
          <t>27246, 27247, 1068, 38870, 38869, 14073</t>
        </is>
      </c>
      <c r="F19" s="11" t="n">
        <v>231.576</v>
      </c>
      <c r="G19" s="11" t="n">
        <v>231.576</v>
      </c>
      <c r="H19" s="10" t="n"/>
      <c r="I19" s="10" t="n"/>
      <c r="J19" s="5">
        <f>COUNTIF(Outorgas!$A:$A,$A19)</f>
        <v/>
      </c>
      <c r="K19" s="5">
        <f>COUNTIFS('Autos e TCRA'!$A:$A,$A19,'Autos e TCRA'!$D:$D,"Auto de Infração*")+COUNTIFS('Autos e TCRA'!$A:$A,$A19,'Autos e TCRA'!$D:$D,"Auto de Imposição*")</f>
        <v/>
      </c>
      <c r="L19" s="5">
        <f>COUNTIFS('Autos e TCRA'!$A:$A,$A19,'Autos e TCRA'!$D:$D,"TCRA")+COUNTIFS('Autos e TCRA'!$A:$A,$A19,'Autos e TCRA'!$D:$D,"TAC")</f>
        <v/>
      </c>
      <c r="M19" s="5">
        <f>COUNTIF('Processos CETESB'!$A:$A,$A19)</f>
        <v/>
      </c>
      <c r="N19" s="5">
        <f>COUNTIF(Incêndios!$A:$A,$A19)</f>
        <v/>
      </c>
      <c r="O19" s="5">
        <f>COUNTIF(Licenciamentos!$A:$A,$A19)</f>
        <v/>
      </c>
      <c r="P19" s="5" t="inlineStr">
        <is>
          <t>Não iniciado</t>
        </is>
      </c>
      <c r="Q19" s="5" t="n"/>
      <c r="R19" s="5" t="n"/>
      <c r="S19" s="5" t="n"/>
    </row>
    <row r="20">
      <c r="A20" s="6" t="inlineStr">
        <is>
          <t>Fazenda Lago Azul</t>
        </is>
      </c>
      <c r="B20" s="6" t="inlineStr">
        <is>
          <t>Teodoro Sampaio</t>
        </is>
      </c>
      <c r="C20" s="6" t="inlineStr">
        <is>
          <t>Própria</t>
        </is>
      </c>
      <c r="D20" s="6" t="inlineStr">
        <is>
          <t>626.279.272.035-4</t>
        </is>
      </c>
      <c r="E20" s="6" t="inlineStr">
        <is>
          <t>17063</t>
        </is>
      </c>
      <c r="F20" s="9" t="n">
        <v>1548.9164</v>
      </c>
      <c r="G20" s="9" t="n">
        <v>1548.9164</v>
      </c>
      <c r="H20" s="10" t="n"/>
      <c r="I20" s="10" t="n"/>
      <c r="J20" s="6">
        <f>COUNTIF(Outorgas!$A:$A,$A20)</f>
        <v/>
      </c>
      <c r="K20" s="6">
        <f>COUNTIFS('Autos e TCRA'!$A:$A,$A20,'Autos e TCRA'!$D:$D,"Auto de Infração*")+COUNTIFS('Autos e TCRA'!$A:$A,$A20,'Autos e TCRA'!$D:$D,"Auto de Imposição*")</f>
        <v/>
      </c>
      <c r="L20" s="6">
        <f>COUNTIFS('Autos e TCRA'!$A:$A,$A20,'Autos e TCRA'!$D:$D,"TCRA")+COUNTIFS('Autos e TCRA'!$A:$A,$A20,'Autos e TCRA'!$D:$D,"TAC")</f>
        <v/>
      </c>
      <c r="M20" s="6">
        <f>COUNTIF('Processos CETESB'!$A:$A,$A20)</f>
        <v/>
      </c>
      <c r="N20" s="6">
        <f>COUNTIF(Incêndios!$A:$A,$A20)</f>
        <v/>
      </c>
      <c r="O20" s="6">
        <f>COUNTIF(Licenciamentos!$A:$A,$A20)</f>
        <v/>
      </c>
      <c r="P20" s="6" t="inlineStr">
        <is>
          <t>Não iniciado</t>
        </is>
      </c>
      <c r="Q20" s="6" t="n"/>
      <c r="R20" s="6" t="n"/>
      <c r="S20" s="6" t="n"/>
    </row>
    <row r="21">
      <c r="A21" s="5" t="inlineStr">
        <is>
          <t>Fazenda São Francisco (S.Pedro) GEO c/ desmembramento</t>
        </is>
      </c>
      <c r="B21" s="5" t="inlineStr">
        <is>
          <t>Guaraci</t>
        </is>
      </c>
      <c r="C21" s="5" t="inlineStr">
        <is>
          <t>Própria</t>
        </is>
      </c>
      <c r="D21" s="5" t="inlineStr">
        <is>
          <t>603.023.003.344-5</t>
        </is>
      </c>
      <c r="E21" s="5" t="inlineStr">
        <is>
          <t>52198, 52199, 52200, 89688, 89691, 89692</t>
        </is>
      </c>
      <c r="F21" s="11" t="n">
        <v>850.5923</v>
      </c>
      <c r="G21" s="11" t="n">
        <v>850.5923</v>
      </c>
      <c r="H21" s="10" t="n"/>
      <c r="I21" s="10" t="n"/>
      <c r="J21" s="5">
        <f>COUNTIF(Outorgas!$A:$A,$A21)</f>
        <v/>
      </c>
      <c r="K21" s="5">
        <f>COUNTIFS('Autos e TCRA'!$A:$A,$A21,'Autos e TCRA'!$D:$D,"Auto de Infração*")+COUNTIFS('Autos e TCRA'!$A:$A,$A21,'Autos e TCRA'!$D:$D,"Auto de Imposição*")</f>
        <v/>
      </c>
      <c r="L21" s="5">
        <f>COUNTIFS('Autos e TCRA'!$A:$A,$A21,'Autos e TCRA'!$D:$D,"TCRA")+COUNTIFS('Autos e TCRA'!$A:$A,$A21,'Autos e TCRA'!$D:$D,"TAC")</f>
        <v/>
      </c>
      <c r="M21" s="5">
        <f>COUNTIF('Processos CETESB'!$A:$A,$A21)</f>
        <v/>
      </c>
      <c r="N21" s="5">
        <f>COUNTIF(Incêndios!$A:$A,$A21)</f>
        <v/>
      </c>
      <c r="O21" s="5">
        <f>COUNTIF(Licenciamentos!$A:$A,$A21)</f>
        <v/>
      </c>
      <c r="P21" s="5" t="inlineStr">
        <is>
          <t>Não iniciado</t>
        </is>
      </c>
      <c r="Q21" s="5" t="n"/>
      <c r="R21" s="5" t="n"/>
      <c r="S21" s="5" t="n"/>
    </row>
    <row r="22">
      <c r="A22" s="6" t="inlineStr">
        <is>
          <t>FAZENDA CÓRREGO RICO - MFG-18000</t>
        </is>
      </c>
      <c r="B22" s="6" t="n"/>
      <c r="C22" s="6" t="inlineStr">
        <is>
          <t>Parceira</t>
        </is>
      </c>
      <c r="D22" s="6" t="inlineStr">
        <is>
          <t>603.015.272.353-7</t>
        </is>
      </c>
      <c r="E22" s="6" t="inlineStr">
        <is>
          <t>10328 - 14023</t>
        </is>
      </c>
      <c r="F22" s="6" t="n"/>
      <c r="G22" s="6" t="n"/>
      <c r="H22" s="10" t="n"/>
      <c r="I22" s="10" t="n"/>
      <c r="J22" s="6">
        <f>COUNTIF(Outorgas!$A:$A,$A22)</f>
        <v/>
      </c>
      <c r="K22" s="6">
        <f>COUNTIFS('Autos e TCRA'!$A:$A,$A22,'Autos e TCRA'!$D:$D,"Auto de Infração*")+COUNTIFS('Autos e TCRA'!$A:$A,$A22,'Autos e TCRA'!$D:$D,"Auto de Imposição*")</f>
        <v/>
      </c>
      <c r="L22" s="6">
        <f>COUNTIFS('Autos e TCRA'!$A:$A,$A22,'Autos e TCRA'!$D:$D,"TCRA")+COUNTIFS('Autos e TCRA'!$A:$A,$A22,'Autos e TCRA'!$D:$D,"TAC")</f>
        <v/>
      </c>
      <c r="M22" s="6">
        <f>COUNTIF('Processos CETESB'!$A:$A,$A22)</f>
        <v/>
      </c>
      <c r="N22" s="6">
        <f>COUNTIF(Incêndios!$A:$A,$A22)</f>
        <v/>
      </c>
      <c r="O22" s="6">
        <f>COUNTIF(Licenciamentos!$A:$A,$A22)</f>
        <v/>
      </c>
      <c r="P22" s="6" t="inlineStr">
        <is>
          <t>Não iniciado</t>
        </is>
      </c>
      <c r="Q22" s="6" t="n"/>
      <c r="R22" s="6" t="n"/>
      <c r="S22" s="6" t="n"/>
    </row>
    <row r="23">
      <c r="A23" s="5" t="inlineStr">
        <is>
          <t>FAZENDA QUATRO IRMÃOS - SOAs-18001</t>
        </is>
      </c>
      <c r="B23" s="5" t="n"/>
      <c r="C23" s="5" t="inlineStr">
        <is>
          <t>Parceira</t>
        </is>
      </c>
      <c r="D23" s="5" t="inlineStr">
        <is>
          <t>000.019.292.982-2</t>
        </is>
      </c>
      <c r="E23" s="5" t="inlineStr">
        <is>
          <t>9477</t>
        </is>
      </c>
      <c r="F23" s="5" t="n"/>
      <c r="G23" s="5" t="n"/>
      <c r="H23" s="10" t="n"/>
      <c r="I23" s="10" t="n"/>
      <c r="J23" s="5">
        <f>COUNTIF(Outorgas!$A:$A,$A23)</f>
        <v/>
      </c>
      <c r="K23" s="5">
        <f>COUNTIFS('Autos e TCRA'!$A:$A,$A23,'Autos e TCRA'!$D:$D,"Auto de Infração*")+COUNTIFS('Autos e TCRA'!$A:$A,$A23,'Autos e TCRA'!$D:$D,"Auto de Imposição*")</f>
        <v/>
      </c>
      <c r="L23" s="5">
        <f>COUNTIFS('Autos e TCRA'!$A:$A,$A23,'Autos e TCRA'!$D:$D,"TCRA")+COUNTIFS('Autos e TCRA'!$A:$A,$A23,'Autos e TCRA'!$D:$D,"TAC")</f>
        <v/>
      </c>
      <c r="M23" s="5">
        <f>COUNTIF('Processos CETESB'!$A:$A,$A23)</f>
        <v/>
      </c>
      <c r="N23" s="5">
        <f>COUNTIF(Incêndios!$A:$A,$A23)</f>
        <v/>
      </c>
      <c r="O23" s="5">
        <f>COUNTIF(Licenciamentos!$A:$A,$A23)</f>
        <v/>
      </c>
      <c r="P23" s="5" t="inlineStr">
        <is>
          <t>Não iniciado</t>
        </is>
      </c>
      <c r="Q23" s="5" t="n"/>
      <c r="R23" s="5" t="n"/>
      <c r="S23" s="5" t="n"/>
    </row>
    <row r="24">
      <c r="A24" s="6" t="inlineStr">
        <is>
          <t>FAZ. GIRASSOIS - GAQ-18002</t>
        </is>
      </c>
      <c r="B24" s="6" t="n"/>
      <c r="C24" s="6" t="inlineStr">
        <is>
          <t>Parceira</t>
        </is>
      </c>
      <c r="D24" s="6" t="inlineStr">
        <is>
          <t>000.019.292.966-0</t>
        </is>
      </c>
      <c r="E24" s="6" t="inlineStr">
        <is>
          <t>9481</t>
        </is>
      </c>
      <c r="F24" s="6" t="n"/>
      <c r="G24" s="6" t="n"/>
      <c r="H24" s="10" t="n"/>
      <c r="I24" s="10" t="n"/>
      <c r="J24" s="6">
        <f>COUNTIF(Outorgas!$A:$A,$A24)</f>
        <v/>
      </c>
      <c r="K24" s="6">
        <f>COUNTIFS('Autos e TCRA'!$A:$A,$A24,'Autos e TCRA'!$D:$D,"Auto de Infração*")+COUNTIFS('Autos e TCRA'!$A:$A,$A24,'Autos e TCRA'!$D:$D,"Auto de Imposição*")</f>
        <v/>
      </c>
      <c r="L24" s="6">
        <f>COUNTIFS('Autos e TCRA'!$A:$A,$A24,'Autos e TCRA'!$D:$D,"TCRA")+COUNTIFS('Autos e TCRA'!$A:$A,$A24,'Autos e TCRA'!$D:$D,"TAC")</f>
        <v/>
      </c>
      <c r="M24" s="6">
        <f>COUNTIF('Processos CETESB'!$A:$A,$A24)</f>
        <v/>
      </c>
      <c r="N24" s="6">
        <f>COUNTIF(Incêndios!$A:$A,$A24)</f>
        <v/>
      </c>
      <c r="O24" s="6">
        <f>COUNTIF(Licenciamentos!$A:$A,$A24)</f>
        <v/>
      </c>
      <c r="P24" s="6" t="inlineStr">
        <is>
          <t>Não iniciado</t>
        </is>
      </c>
      <c r="Q24" s="6" t="n"/>
      <c r="R24" s="6" t="n"/>
      <c r="S24" s="6" t="n"/>
    </row>
    <row r="25">
      <c r="A25" s="5" t="inlineStr">
        <is>
          <t>FAZ. MANGUE - MQ</t>
        </is>
      </c>
      <c r="B25" s="5" t="n"/>
      <c r="C25" s="5" t="inlineStr">
        <is>
          <t>Parceira</t>
        </is>
      </c>
      <c r="D25" s="5" t="inlineStr">
        <is>
          <t>603.031.273.058-6</t>
        </is>
      </c>
      <c r="E25" s="5" t="inlineStr">
        <is>
          <t>10487</t>
        </is>
      </c>
      <c r="F25" s="5" t="n"/>
      <c r="G25" s="5" t="n"/>
      <c r="H25" s="10" t="n"/>
      <c r="I25" s="10" t="n"/>
      <c r="J25" s="5">
        <f>COUNTIF(Outorgas!$A:$A,$A25)</f>
        <v/>
      </c>
      <c r="K25" s="5">
        <f>COUNTIFS('Autos e TCRA'!$A:$A,$A25,'Autos e TCRA'!$D:$D,"Auto de Infração*")+COUNTIFS('Autos e TCRA'!$A:$A,$A25,'Autos e TCRA'!$D:$D,"Auto de Imposição*")</f>
        <v/>
      </c>
      <c r="L25" s="5">
        <f>COUNTIFS('Autos e TCRA'!$A:$A,$A25,'Autos e TCRA'!$D:$D,"TCRA")+COUNTIFS('Autos e TCRA'!$A:$A,$A25,'Autos e TCRA'!$D:$D,"TAC")</f>
        <v/>
      </c>
      <c r="M25" s="5">
        <f>COUNTIF('Processos CETESB'!$A:$A,$A25)</f>
        <v/>
      </c>
      <c r="N25" s="5">
        <f>COUNTIF(Incêndios!$A:$A,$A25)</f>
        <v/>
      </c>
      <c r="O25" s="5">
        <f>COUNTIF(Licenciamentos!$A:$A,$A25)</f>
        <v/>
      </c>
      <c r="P25" s="5" t="inlineStr">
        <is>
          <t>Não iniciado</t>
        </is>
      </c>
      <c r="Q25" s="5" t="n"/>
      <c r="R25" s="5" t="n"/>
      <c r="S25" s="5" t="n"/>
    </row>
    <row r="26">
      <c r="A26" s="6" t="inlineStr">
        <is>
          <t>FAZENDA AGUA DOCE PARTE IV - RJP</t>
        </is>
      </c>
      <c r="B26" s="6" t="n"/>
      <c r="C26" s="6" t="inlineStr">
        <is>
          <t>Parceira</t>
        </is>
      </c>
      <c r="D26" s="6" t="inlineStr">
        <is>
          <t>603.031.000.400-4</t>
        </is>
      </c>
      <c r="E26" s="6" t="inlineStr">
        <is>
          <t>17035</t>
        </is>
      </c>
      <c r="F26" s="6" t="n"/>
      <c r="G26" s="6" t="n"/>
      <c r="H26" s="10" t="n"/>
      <c r="I26" s="10" t="n"/>
      <c r="J26" s="6">
        <f>COUNTIF(Outorgas!$A:$A,$A26)</f>
        <v/>
      </c>
      <c r="K26" s="6">
        <f>COUNTIFS('Autos e TCRA'!$A:$A,$A26,'Autos e TCRA'!$D:$D,"Auto de Infração*")+COUNTIFS('Autos e TCRA'!$A:$A,$A26,'Autos e TCRA'!$D:$D,"Auto de Imposição*")</f>
        <v/>
      </c>
      <c r="L26" s="6">
        <f>COUNTIFS('Autos e TCRA'!$A:$A,$A26,'Autos e TCRA'!$D:$D,"TCRA")+COUNTIFS('Autos e TCRA'!$A:$A,$A26,'Autos e TCRA'!$D:$D,"TAC")</f>
        <v/>
      </c>
      <c r="M26" s="6">
        <f>COUNTIF('Processos CETESB'!$A:$A,$A26)</f>
        <v/>
      </c>
      <c r="N26" s="6">
        <f>COUNTIF(Incêndios!$A:$A,$A26)</f>
        <v/>
      </c>
      <c r="O26" s="6">
        <f>COUNTIF(Licenciamentos!$A:$A,$A26)</f>
        <v/>
      </c>
      <c r="P26" s="6" t="inlineStr">
        <is>
          <t>Não iniciado</t>
        </is>
      </c>
      <c r="Q26" s="6" t="n"/>
      <c r="R26" s="6" t="n"/>
      <c r="S26" s="6" t="n"/>
    </row>
    <row r="27">
      <c r="A27" s="5" t="inlineStr">
        <is>
          <t>FAZENDA AGUA DOCE PARTE II - MAP</t>
        </is>
      </c>
      <c r="B27" s="5" t="n"/>
      <c r="C27" s="5" t="inlineStr">
        <is>
          <t>Parceira</t>
        </is>
      </c>
      <c r="D27" s="5" t="inlineStr">
        <is>
          <t>999.989.956.007-8</t>
        </is>
      </c>
      <c r="E27" s="5" t="inlineStr">
        <is>
          <t>17033</t>
        </is>
      </c>
      <c r="F27" s="5" t="n"/>
      <c r="G27" s="5" t="n"/>
      <c r="H27" s="10" t="n"/>
      <c r="I27" s="10" t="n"/>
      <c r="J27" s="5">
        <f>COUNTIF(Outorgas!$A:$A,$A27)</f>
        <v/>
      </c>
      <c r="K27" s="5">
        <f>COUNTIFS('Autos e TCRA'!$A:$A,$A27,'Autos e TCRA'!$D:$D,"Auto de Infração*")+COUNTIFS('Autos e TCRA'!$A:$A,$A27,'Autos e TCRA'!$D:$D,"Auto de Imposição*")</f>
        <v/>
      </c>
      <c r="L27" s="5">
        <f>COUNTIFS('Autos e TCRA'!$A:$A,$A27,'Autos e TCRA'!$D:$D,"TCRA")+COUNTIFS('Autos e TCRA'!$A:$A,$A27,'Autos e TCRA'!$D:$D,"TAC")</f>
        <v/>
      </c>
      <c r="M27" s="5">
        <f>COUNTIF('Processos CETESB'!$A:$A,$A27)</f>
        <v/>
      </c>
      <c r="N27" s="5">
        <f>COUNTIF(Incêndios!$A:$A,$A27)</f>
        <v/>
      </c>
      <c r="O27" s="5">
        <f>COUNTIF(Licenciamentos!$A:$A,$A27)</f>
        <v/>
      </c>
      <c r="P27" s="5" t="inlineStr">
        <is>
          <t>Não iniciado</t>
        </is>
      </c>
      <c r="Q27" s="5" t="n"/>
      <c r="R27" s="5" t="n"/>
      <c r="S27" s="5" t="n"/>
    </row>
    <row r="28">
      <c r="A28" s="6" t="inlineStr">
        <is>
          <t>FAZENDA ANTONIO BIANCO - SBA</t>
        </is>
      </c>
      <c r="B28" s="6" t="n"/>
      <c r="C28" s="6" t="inlineStr">
        <is>
          <t>Parceira</t>
        </is>
      </c>
      <c r="D28" s="6" t="inlineStr">
        <is>
          <t>603.031.273.066-7</t>
        </is>
      </c>
      <c r="E28" s="6" t="inlineStr">
        <is>
          <t>11391</t>
        </is>
      </c>
      <c r="F28" s="6" t="n"/>
      <c r="G28" s="6" t="n"/>
      <c r="H28" s="10" t="n"/>
      <c r="I28" s="10" t="n"/>
      <c r="J28" s="6">
        <f>COUNTIF(Outorgas!$A:$A,$A28)</f>
        <v/>
      </c>
      <c r="K28" s="6">
        <f>COUNTIFS('Autos e TCRA'!$A:$A,$A28,'Autos e TCRA'!$D:$D,"Auto de Infração*")+COUNTIFS('Autos e TCRA'!$A:$A,$A28,'Autos e TCRA'!$D:$D,"Auto de Imposição*")</f>
        <v/>
      </c>
      <c r="L28" s="6">
        <f>COUNTIFS('Autos e TCRA'!$A:$A,$A28,'Autos e TCRA'!$D:$D,"TCRA")+COUNTIFS('Autos e TCRA'!$A:$A,$A28,'Autos e TCRA'!$D:$D,"TAC")</f>
        <v/>
      </c>
      <c r="M28" s="6">
        <f>COUNTIF('Processos CETESB'!$A:$A,$A28)</f>
        <v/>
      </c>
      <c r="N28" s="6">
        <f>COUNTIF(Incêndios!$A:$A,$A28)</f>
        <v/>
      </c>
      <c r="O28" s="6">
        <f>COUNTIF(Licenciamentos!$A:$A,$A28)</f>
        <v/>
      </c>
      <c r="P28" s="6" t="inlineStr">
        <is>
          <t>Não iniciado</t>
        </is>
      </c>
      <c r="Q28" s="6" t="n"/>
      <c r="R28" s="6" t="n"/>
      <c r="S28" s="6" t="n"/>
    </row>
    <row r="29">
      <c r="A29" s="5" t="inlineStr">
        <is>
          <t>FAZ. SANTO INACIO - ILMJA</t>
        </is>
      </c>
      <c r="B29" s="5" t="n"/>
      <c r="C29" s="5" t="inlineStr">
        <is>
          <t>Parceira</t>
        </is>
      </c>
      <c r="D29" s="5" t="inlineStr">
        <is>
          <t>950.122.860.476-5</t>
        </is>
      </c>
      <c r="E29" s="5" t="inlineStr">
        <is>
          <t>14022</t>
        </is>
      </c>
      <c r="F29" s="5" t="n"/>
      <c r="G29" s="5" t="n"/>
      <c r="H29" s="10" t="n"/>
      <c r="I29" s="10" t="n"/>
      <c r="J29" s="5">
        <f>COUNTIF(Outorgas!$A:$A,$A29)</f>
        <v/>
      </c>
      <c r="K29" s="5">
        <f>COUNTIFS('Autos e TCRA'!$A:$A,$A29,'Autos e TCRA'!$D:$D,"Auto de Infração*")+COUNTIFS('Autos e TCRA'!$A:$A,$A29,'Autos e TCRA'!$D:$D,"Auto de Imposição*")</f>
        <v/>
      </c>
      <c r="L29" s="5">
        <f>COUNTIFS('Autos e TCRA'!$A:$A,$A29,'Autos e TCRA'!$D:$D,"TCRA")+COUNTIFS('Autos e TCRA'!$A:$A,$A29,'Autos e TCRA'!$D:$D,"TAC")</f>
        <v/>
      </c>
      <c r="M29" s="5">
        <f>COUNTIF('Processos CETESB'!$A:$A,$A29)</f>
        <v/>
      </c>
      <c r="N29" s="5">
        <f>COUNTIF(Incêndios!$A:$A,$A29)</f>
        <v/>
      </c>
      <c r="O29" s="5">
        <f>COUNTIF(Licenciamentos!$A:$A,$A29)</f>
        <v/>
      </c>
      <c r="P29" s="5" t="inlineStr">
        <is>
          <t>Não iniciado</t>
        </is>
      </c>
      <c r="Q29" s="5" t="n"/>
      <c r="R29" s="5" t="n"/>
      <c r="S29" s="5" t="n"/>
    </row>
    <row r="30">
      <c r="A30" s="6" t="inlineStr">
        <is>
          <t>FAZENDA CÓRREGO RICO - LAN</t>
        </is>
      </c>
      <c r="B30" s="6" t="n"/>
      <c r="C30" s="6" t="inlineStr">
        <is>
          <t>Parceira</t>
        </is>
      </c>
      <c r="D30" s="6" t="inlineStr">
        <is>
          <t>623.024.006.955-2</t>
        </is>
      </c>
      <c r="E30" s="6" t="inlineStr">
        <is>
          <t>14021</t>
        </is>
      </c>
      <c r="F30" s="6" t="n"/>
      <c r="G30" s="6" t="n"/>
      <c r="H30" s="10" t="n"/>
      <c r="I30" s="10" t="n"/>
      <c r="J30" s="6">
        <f>COUNTIF(Outorgas!$A:$A,$A30)</f>
        <v/>
      </c>
      <c r="K30" s="6">
        <f>COUNTIFS('Autos e TCRA'!$A:$A,$A30,'Autos e TCRA'!$D:$D,"Auto de Infração*")+COUNTIFS('Autos e TCRA'!$A:$A,$A30,'Autos e TCRA'!$D:$D,"Auto de Imposição*")</f>
        <v/>
      </c>
      <c r="L30" s="6">
        <f>COUNTIFS('Autos e TCRA'!$A:$A,$A30,'Autos e TCRA'!$D:$D,"TCRA")+COUNTIFS('Autos e TCRA'!$A:$A,$A30,'Autos e TCRA'!$D:$D,"TAC")</f>
        <v/>
      </c>
      <c r="M30" s="6">
        <f>COUNTIF('Processos CETESB'!$A:$A,$A30)</f>
        <v/>
      </c>
      <c r="N30" s="6">
        <f>COUNTIF(Incêndios!$A:$A,$A30)</f>
        <v/>
      </c>
      <c r="O30" s="6">
        <f>COUNTIF(Licenciamentos!$A:$A,$A30)</f>
        <v/>
      </c>
      <c r="P30" s="6" t="inlineStr">
        <is>
          <t>Não iniciado</t>
        </is>
      </c>
      <c r="Q30" s="6" t="n"/>
      <c r="R30" s="6" t="n"/>
      <c r="S30" s="6" t="n"/>
    </row>
    <row r="31">
      <c r="A31" s="5" t="inlineStr">
        <is>
          <t>FAZENDA OLIVEIRA - MAO</t>
        </is>
      </c>
      <c r="B31" s="5" t="n"/>
      <c r="C31" s="5" t="inlineStr">
        <is>
          <t>Parceira</t>
        </is>
      </c>
      <c r="D31" s="5" t="inlineStr">
        <is>
          <t>603.031.000.507-8</t>
        </is>
      </c>
      <c r="E31" s="5" t="inlineStr">
        <is>
          <t>17864</t>
        </is>
      </c>
      <c r="F31" s="5" t="n"/>
      <c r="G31" s="5" t="n"/>
      <c r="H31" s="10" t="n"/>
      <c r="I31" s="10" t="n"/>
      <c r="J31" s="5">
        <f>COUNTIF(Outorgas!$A:$A,$A31)</f>
        <v/>
      </c>
      <c r="K31" s="5">
        <f>COUNTIFS('Autos e TCRA'!$A:$A,$A31,'Autos e TCRA'!$D:$D,"Auto de Infração*")+COUNTIFS('Autos e TCRA'!$A:$A,$A31,'Autos e TCRA'!$D:$D,"Auto de Imposição*")</f>
        <v/>
      </c>
      <c r="L31" s="5">
        <f>COUNTIFS('Autos e TCRA'!$A:$A,$A31,'Autos e TCRA'!$D:$D,"TCRA")+COUNTIFS('Autos e TCRA'!$A:$A,$A31,'Autos e TCRA'!$D:$D,"TAC")</f>
        <v/>
      </c>
      <c r="M31" s="5">
        <f>COUNTIF('Processos CETESB'!$A:$A,$A31)</f>
        <v/>
      </c>
      <c r="N31" s="5">
        <f>COUNTIF(Incêndios!$A:$A,$A31)</f>
        <v/>
      </c>
      <c r="O31" s="5">
        <f>COUNTIF(Licenciamentos!$A:$A,$A31)</f>
        <v/>
      </c>
      <c r="P31" s="5" t="inlineStr">
        <is>
          <t>Não iniciado</t>
        </is>
      </c>
      <c r="Q31" s="5" t="n"/>
      <c r="R31" s="5" t="n"/>
      <c r="S31" s="5" t="n"/>
    </row>
    <row r="33">
      <c r="A33" s="12" t="inlineStr">
        <is>
          <t>Campos em amarelo = preenchimento manual a partir da consulta oficial. Colunas J:O são contagens automáticas das abas de detalhe.</t>
        </is>
      </c>
    </row>
  </sheetData>
  <autoFilter ref="A1:S1"/>
  <dataValidations count="2">
    <dataValidation sqref="I2:I31" showDropDown="0" showInputMessage="0" showErrorMessage="0" allowBlank="1" type="list">
      <formula1>=Listas!$A$2:$A$8</formula1>
    </dataValidation>
    <dataValidation sqref="P2:P31" showDropDown="0" showInputMessage="0" showErrorMessage="0" allowBlank="1" type="list">
      <formula1>=Listas!$B$2:$B$6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A4"/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4" customWidth="1" min="4" max="4"/>
    <col width="34" customWidth="1" min="5" max="5"/>
    <col width="16" customWidth="1" min="6" max="6"/>
    <col width="14" customWidth="1" min="7" max="7"/>
    <col width="14" customWidth="1" min="8" max="8"/>
    <col width="15" customWidth="1" min="9" max="9"/>
    <col width="15" customWidth="1" min="10" max="10"/>
    <col width="18" customWidth="1" min="11" max="11"/>
    <col width="11" customWidth="1" min="12" max="12"/>
    <col width="14" customWidth="1" min="13" max="13"/>
    <col width="16" customWidth="1" min="14" max="14"/>
    <col width="14" customWidth="1" min="15" max="15"/>
    <col width="26" customWidth="1" min="16" max="16"/>
    <col width="20" customWidth="1" min="17" max="17"/>
    <col width="40" customWidth="1" min="18" max="18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Matrícula</t>
        </is>
      </c>
      <c r="D1" s="4" t="inlineStr">
        <is>
          <t>Área da matrícula (ha)</t>
        </is>
      </c>
      <c r="E1" s="4" t="inlineStr">
        <is>
          <t>N° do CAR (recibo)</t>
        </is>
      </c>
      <c r="F1" s="4" t="inlineStr">
        <is>
          <t>Situação do CAR</t>
        </is>
      </c>
      <c r="G1" s="4" t="inlineStr">
        <is>
          <t>Data de inscrição</t>
        </is>
      </c>
      <c r="H1" s="4" t="inlineStr">
        <is>
          <t>Última retificação</t>
        </is>
      </c>
      <c r="I1" s="4" t="inlineStr">
        <is>
          <t>Área do imóvel no CAR (ha)</t>
        </is>
      </c>
      <c r="J1" s="4" t="inlineStr">
        <is>
          <t>Reserva Legal declarada (ha)</t>
        </is>
      </c>
      <c r="K1" s="4" t="inlineStr">
        <is>
          <t>RL averbada / compensada</t>
        </is>
      </c>
      <c r="L1" s="4" t="inlineStr">
        <is>
          <t>APP (ha)</t>
        </is>
      </c>
      <c r="M1" s="4" t="inlineStr">
        <is>
          <t>Área consolidada (ha)</t>
        </is>
      </c>
      <c r="N1" s="4" t="inlineStr">
        <is>
          <t>Passivo / área a recuperar (ha)</t>
        </is>
      </c>
      <c r="O1" s="4" t="inlineStr">
        <is>
          <t>Adesão ao PRA</t>
        </is>
      </c>
      <c r="P1" s="4" t="inlineStr">
        <is>
          <t>Sobreposições identificadas</t>
        </is>
      </c>
      <c r="Q1" s="4" t="inlineStr">
        <is>
          <t>Fonte / data da consulta</t>
        </is>
      </c>
      <c r="R1" s="4" t="inlineStr">
        <is>
          <t>Observações</t>
        </is>
      </c>
    </row>
    <row r="2">
      <c r="A2" s="6" t="inlineStr">
        <is>
          <t>Fazenda Ipê</t>
        </is>
      </c>
      <c r="B2" s="6" t="inlineStr">
        <is>
          <t>Sto Antonio do Aracanguá</t>
        </is>
      </c>
      <c r="C2" s="6" t="n">
        <v>5787</v>
      </c>
      <c r="D2" s="9" t="n">
        <v>473.34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6" t="n"/>
      <c r="R2" s="6" t="n"/>
    </row>
    <row r="3">
      <c r="A3" s="5" t="inlineStr">
        <is>
          <t>Fazenda São Geraldo</t>
        </is>
      </c>
      <c r="B3" s="5" t="inlineStr">
        <is>
          <t>Colina</t>
        </is>
      </c>
      <c r="C3" s="5" t="n">
        <v>176</v>
      </c>
      <c r="D3" s="11" t="n">
        <v>467.06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5" t="n"/>
      <c r="R3" s="5" t="n"/>
    </row>
    <row r="4">
      <c r="A4" s="6" t="inlineStr">
        <is>
          <t>Fazenda São Geraldo</t>
        </is>
      </c>
      <c r="B4" s="6" t="inlineStr">
        <is>
          <t>Colina</t>
        </is>
      </c>
      <c r="C4" s="6" t="n">
        <v>19852</v>
      </c>
      <c r="D4" s="9" t="n">
        <v>26.62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6" t="n"/>
      <c r="R4" s="6" t="n"/>
    </row>
    <row r="5">
      <c r="A5" s="5" t="inlineStr">
        <is>
          <t>Fazenda São Geraldo</t>
        </is>
      </c>
      <c r="B5" s="5" t="inlineStr">
        <is>
          <t>Colina</t>
        </is>
      </c>
      <c r="C5" s="5" t="n">
        <v>14036</v>
      </c>
      <c r="D5" s="11" t="n">
        <v>40.6802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5" t="n"/>
      <c r="R5" s="5" t="n"/>
    </row>
    <row r="6">
      <c r="A6" s="6" t="inlineStr">
        <is>
          <t>Fazenda Conquista</t>
        </is>
      </c>
      <c r="B6" s="6" t="inlineStr">
        <is>
          <t>Santo Antonio do Aracanguá</t>
        </is>
      </c>
      <c r="C6" s="6" t="n">
        <v>73291</v>
      </c>
      <c r="D6" s="9" t="n">
        <v>239.0512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6" t="n"/>
      <c r="R6" s="6" t="n"/>
    </row>
    <row r="7">
      <c r="A7" s="5" t="inlineStr">
        <is>
          <t>Fazenda Conquista</t>
        </is>
      </c>
      <c r="B7" s="5" t="inlineStr">
        <is>
          <t>Santo Antonio do Aracanguá</t>
        </is>
      </c>
      <c r="C7" s="5" t="n">
        <v>696</v>
      </c>
      <c r="D7" s="11" t="n">
        <v>12.1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5" t="n"/>
      <c r="R7" s="5" t="n"/>
    </row>
    <row r="8">
      <c r="A8" s="6" t="inlineStr">
        <is>
          <t>Fazenda Conquista</t>
        </is>
      </c>
      <c r="B8" s="6" t="inlineStr">
        <is>
          <t>Santo Antonio do Aracanguá</t>
        </is>
      </c>
      <c r="C8" s="6" t="n">
        <v>41325</v>
      </c>
      <c r="D8" s="9" t="n">
        <v>12.1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6" t="n"/>
      <c r="R8" s="6" t="n"/>
    </row>
    <row r="9">
      <c r="A9" s="5" t="inlineStr">
        <is>
          <t>Fazenda Conquista</t>
        </is>
      </c>
      <c r="B9" s="5" t="inlineStr">
        <is>
          <t>Santo Antonio do Aracanguá</t>
        </is>
      </c>
      <c r="C9" s="5" t="n">
        <v>41326</v>
      </c>
      <c r="D9" s="11" t="n">
        <v>445.885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5" t="n"/>
      <c r="R9" s="5" t="n"/>
    </row>
    <row r="10">
      <c r="A10" s="6" t="inlineStr">
        <is>
          <t>Fazenda Conquista</t>
        </is>
      </c>
      <c r="B10" s="6" t="inlineStr">
        <is>
          <t>Santo Antonio do Aracanguá</t>
        </is>
      </c>
      <c r="C10" s="6" t="n">
        <v>41327</v>
      </c>
      <c r="D10" s="9" t="n">
        <v>427.6346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6" t="n"/>
      <c r="R10" s="6" t="n"/>
    </row>
    <row r="11">
      <c r="A11" s="5" t="inlineStr">
        <is>
          <t>Fazenda Santo Antonio</t>
        </is>
      </c>
      <c r="B11" s="5" t="inlineStr">
        <is>
          <t>Guapiaçu</t>
        </is>
      </c>
      <c r="C11" s="5" t="n">
        <v>38971</v>
      </c>
      <c r="D11" s="11" t="n">
        <v>2017.4781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5" t="n"/>
      <c r="R11" s="5" t="n"/>
    </row>
    <row r="12">
      <c r="A12" s="6" t="inlineStr">
        <is>
          <t>Fazenda Santo Antonio</t>
        </is>
      </c>
      <c r="B12" s="6" t="inlineStr">
        <is>
          <t>Guapiaçu</t>
        </is>
      </c>
      <c r="C12" s="6" t="n">
        <v>10632</v>
      </c>
      <c r="D12" s="9" t="n">
        <v>70.18000000000001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6" t="n"/>
      <c r="R12" s="6" t="n"/>
    </row>
    <row r="13">
      <c r="A13" s="5" t="inlineStr">
        <is>
          <t>Fazenda Alvorada</t>
        </is>
      </c>
      <c r="B13" s="5" t="inlineStr">
        <is>
          <t>Altair</t>
        </is>
      </c>
      <c r="C13" s="5" t="n">
        <v>7430</v>
      </c>
      <c r="D13" s="11" t="n">
        <v>584.914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5" t="n"/>
      <c r="R13" s="5" t="n"/>
    </row>
    <row r="14">
      <c r="A14" s="6" t="inlineStr">
        <is>
          <t>Fazenda Alvorada</t>
        </is>
      </c>
      <c r="B14" s="6" t="inlineStr">
        <is>
          <t>Altair</t>
        </is>
      </c>
      <c r="C14" s="6" t="n">
        <v>44121</v>
      </c>
      <c r="D14" s="9" t="n">
        <v>20.7091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6" t="n"/>
      <c r="R14" s="6" t="n"/>
    </row>
    <row r="15">
      <c r="A15" s="5" t="inlineStr">
        <is>
          <t>Fazenda Alvorada</t>
        </is>
      </c>
      <c r="B15" s="5" t="inlineStr">
        <is>
          <t>Altair</t>
        </is>
      </c>
      <c r="C15" s="5" t="n">
        <v>44122</v>
      </c>
      <c r="D15" s="11" t="n">
        <v>26.2366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5" t="n"/>
      <c r="R15" s="5" t="n"/>
    </row>
    <row r="16">
      <c r="A16" s="6" t="inlineStr">
        <is>
          <t>Fazenda Alvorada</t>
        </is>
      </c>
      <c r="B16" s="6" t="inlineStr">
        <is>
          <t>Altair</t>
        </is>
      </c>
      <c r="C16" s="6" t="n">
        <v>44123</v>
      </c>
      <c r="D16" s="9" t="n">
        <v>18.7245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6" t="n"/>
      <c r="R16" s="6" t="n"/>
    </row>
    <row r="17">
      <c r="A17" s="5" t="inlineStr">
        <is>
          <t>Fazenda Alvorada</t>
        </is>
      </c>
      <c r="B17" s="5" t="inlineStr">
        <is>
          <t>Altair</t>
        </is>
      </c>
      <c r="C17" s="5" t="n">
        <v>44124</v>
      </c>
      <c r="D17" s="11" t="n">
        <v>28.6446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5" t="n"/>
      <c r="R17" s="5" t="n"/>
    </row>
    <row r="18">
      <c r="A18" s="6" t="inlineStr">
        <is>
          <t>Fazenda Santa Inacia</t>
        </is>
      </c>
      <c r="B18" s="6" t="inlineStr">
        <is>
          <t>Colina</t>
        </is>
      </c>
      <c r="C18" s="6" t="n">
        <v>14892</v>
      </c>
      <c r="D18" s="9" t="n">
        <v>522.5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6" t="n"/>
      <c r="R18" s="6" t="n"/>
    </row>
    <row r="19">
      <c r="A19" s="5" t="inlineStr">
        <is>
          <t>Fazenda Iracema</t>
        </is>
      </c>
      <c r="B19" s="5" t="inlineStr">
        <is>
          <t>Colina</t>
        </is>
      </c>
      <c r="C19" s="5" t="n">
        <v>10319</v>
      </c>
      <c r="D19" s="11" t="n">
        <v>550.99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5" t="n"/>
      <c r="R19" s="5" t="n"/>
    </row>
    <row r="20">
      <c r="A20" s="6" t="inlineStr">
        <is>
          <t>Fazenda Vitória</t>
        </is>
      </c>
      <c r="B20" s="6" t="inlineStr">
        <is>
          <t>Santo Antonio do Aracanguá</t>
        </is>
      </c>
      <c r="C20" s="6" t="n">
        <v>45933</v>
      </c>
      <c r="D20" s="9" t="n">
        <v>10.18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6" t="n"/>
      <c r="R20" s="6" t="n"/>
    </row>
    <row r="21">
      <c r="A21" s="5" t="inlineStr">
        <is>
          <t>Fazenda Vitória</t>
        </is>
      </c>
      <c r="B21" s="5" t="inlineStr">
        <is>
          <t>Santo Antonio do Aracanguá</t>
        </is>
      </c>
      <c r="C21" s="5" t="n">
        <v>45932</v>
      </c>
      <c r="D21" s="11" t="n">
        <v>123.778</v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5" t="n"/>
      <c r="R21" s="5" t="n"/>
    </row>
    <row r="22">
      <c r="A22" s="6" t="inlineStr">
        <is>
          <t>Fazenda Vitória</t>
        </is>
      </c>
      <c r="B22" s="6" t="inlineStr">
        <is>
          <t>Santo Antonio do Aracanguá</t>
        </is>
      </c>
      <c r="C22" s="6" t="n">
        <v>49159</v>
      </c>
      <c r="D22" s="9" t="n">
        <v>94.8056</v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6" t="n"/>
      <c r="R22" s="6" t="n"/>
    </row>
    <row r="23">
      <c r="A23" s="5" t="inlineStr">
        <is>
          <t>Fazenda Vitória</t>
        </is>
      </c>
      <c r="B23" s="5" t="inlineStr">
        <is>
          <t>Santo Antonio do Aracanguá</t>
        </is>
      </c>
      <c r="C23" s="5" t="n">
        <v>3201</v>
      </c>
      <c r="D23" s="11" t="n">
        <v>157.3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5" t="n"/>
      <c r="R23" s="5" t="n"/>
    </row>
    <row r="24">
      <c r="A24" s="6" t="inlineStr">
        <is>
          <t>Fazenda Santa Helena</t>
        </is>
      </c>
      <c r="B24" s="6" t="inlineStr">
        <is>
          <t>Santo Antonio do Aracanguá</t>
        </is>
      </c>
      <c r="C24" s="6" t="n">
        <v>37883</v>
      </c>
      <c r="D24" s="9" t="n">
        <v>295.7632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6" t="n"/>
      <c r="R24" s="6" t="n"/>
    </row>
    <row r="25">
      <c r="A25" s="5" t="inlineStr">
        <is>
          <t>Fazenda Santa Helena</t>
        </is>
      </c>
      <c r="B25" s="5" t="inlineStr">
        <is>
          <t>Santo Antonio do Aracanguá</t>
        </is>
      </c>
      <c r="C25" s="5" t="n">
        <v>37882</v>
      </c>
      <c r="D25" s="11" t="n">
        <v>43.0368</v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5" t="n"/>
      <c r="R25" s="5" t="n"/>
    </row>
    <row r="26">
      <c r="A26" s="6" t="inlineStr">
        <is>
          <t>Fazenda São José</t>
        </is>
      </c>
      <c r="B26" s="6" t="inlineStr">
        <is>
          <t>Severínia</t>
        </is>
      </c>
      <c r="C26" s="6" t="n">
        <v>7207</v>
      </c>
      <c r="D26" s="9" t="n">
        <v>519.332</v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6" t="n"/>
      <c r="R26" s="6" t="n"/>
    </row>
    <row r="27">
      <c r="A27" s="5" t="inlineStr">
        <is>
          <t>Fazenda São Luiz</t>
        </is>
      </c>
      <c r="B27" s="5" t="inlineStr">
        <is>
          <t>Severínia</t>
        </is>
      </c>
      <c r="C27" s="5" t="n">
        <v>24047</v>
      </c>
      <c r="D27" s="11" t="n">
        <v>57.5718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5" t="n"/>
      <c r="R27" s="5" t="n"/>
    </row>
    <row r="28">
      <c r="A28" s="6" t="inlineStr">
        <is>
          <t>Fazenda São Luiz</t>
        </is>
      </c>
      <c r="B28" s="6" t="inlineStr">
        <is>
          <t>Severínia</t>
        </is>
      </c>
      <c r="C28" s="6" t="n">
        <v>30714</v>
      </c>
      <c r="D28" s="9" t="n">
        <v>20.656</v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6" t="n"/>
      <c r="R28" s="6" t="n"/>
    </row>
    <row r="29">
      <c r="A29" s="5" t="inlineStr">
        <is>
          <t>Fazenda São Luiz</t>
        </is>
      </c>
      <c r="B29" s="5" t="inlineStr">
        <is>
          <t>Severínia</t>
        </is>
      </c>
      <c r="C29" s="5" t="n">
        <v>12236</v>
      </c>
      <c r="D29" s="11" t="n">
        <v>271.645</v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5" t="n"/>
      <c r="R29" s="5" t="n"/>
    </row>
    <row r="30">
      <c r="A30" s="6" t="inlineStr">
        <is>
          <t>Fazenda São Luiz</t>
        </is>
      </c>
      <c r="B30" s="6" t="inlineStr">
        <is>
          <t>Severínia</t>
        </is>
      </c>
      <c r="C30" s="6" t="n">
        <v>12237</v>
      </c>
      <c r="D30" s="9" t="n">
        <v>245.7994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6" t="n"/>
      <c r="R30" s="6" t="n"/>
    </row>
    <row r="31">
      <c r="A31" s="5" t="inlineStr">
        <is>
          <t>Fazenda São Luiz</t>
        </is>
      </c>
      <c r="B31" s="5" t="inlineStr">
        <is>
          <t>Severínia</t>
        </is>
      </c>
      <c r="C31" s="5" t="n">
        <v>6710</v>
      </c>
      <c r="D31" s="11" t="n">
        <v>9.255000000000001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5" t="n"/>
      <c r="R31" s="5" t="n"/>
    </row>
    <row r="32">
      <c r="A32" s="6" t="inlineStr">
        <is>
          <t>Fazenda São Luiz</t>
        </is>
      </c>
      <c r="B32" s="6" t="inlineStr">
        <is>
          <t>Severínia</t>
        </is>
      </c>
      <c r="C32" s="6" t="n">
        <v>24932</v>
      </c>
      <c r="D32" s="9" t="n">
        <v>7.15</v>
      </c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6" t="n"/>
      <c r="R32" s="6" t="n"/>
    </row>
    <row r="33">
      <c r="A33" s="5" t="inlineStr">
        <is>
          <t>Sítio São José I</t>
        </is>
      </c>
      <c r="B33" s="5" t="inlineStr">
        <is>
          <t>Severínia</t>
        </is>
      </c>
      <c r="C33" s="5" t="n">
        <v>417</v>
      </c>
      <c r="D33" s="11" t="n">
        <v>16.94</v>
      </c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5" t="n"/>
      <c r="R33" s="5" t="n"/>
    </row>
    <row r="34">
      <c r="A34" s="6" t="inlineStr">
        <is>
          <t>Fazenda Santa Rosa</t>
        </is>
      </c>
      <c r="B34" s="6" t="inlineStr">
        <is>
          <t>Altair</t>
        </is>
      </c>
      <c r="C34" s="6" t="n">
        <v>18300</v>
      </c>
      <c r="D34" s="9" t="n">
        <v>1285.0442</v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6" t="n"/>
      <c r="R34" s="6" t="n"/>
    </row>
    <row r="35">
      <c r="A35" s="5" t="inlineStr">
        <is>
          <t>Fazenda Santa Cruz</t>
        </is>
      </c>
      <c r="B35" s="5" t="inlineStr">
        <is>
          <t>Onda Verde</t>
        </is>
      </c>
      <c r="C35" s="5" t="n">
        <v>1469</v>
      </c>
      <c r="D35" s="11" t="n">
        <v>91.95999999999999</v>
      </c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5" t="n"/>
      <c r="R35" s="5" t="n"/>
    </row>
    <row r="36">
      <c r="A36" s="6" t="inlineStr">
        <is>
          <t>Fazenda Santa Maria</t>
        </is>
      </c>
      <c r="B36" s="6" t="inlineStr">
        <is>
          <t>Monte Azul Paulista</t>
        </is>
      </c>
      <c r="C36" s="6" t="n">
        <v>119</v>
      </c>
      <c r="D36" s="9" t="n">
        <v>341.22</v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6" t="n"/>
      <c r="R36" s="6" t="n"/>
    </row>
    <row r="37">
      <c r="A37" s="5" t="inlineStr">
        <is>
          <t>Fazenda São João</t>
        </is>
      </c>
      <c r="B37" s="5" t="inlineStr">
        <is>
          <t>Guaraci</t>
        </is>
      </c>
      <c r="C37" s="5" t="n">
        <v>45390</v>
      </c>
      <c r="D37" s="11" t="n">
        <v>32.052</v>
      </c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5" t="n"/>
      <c r="R37" s="5" t="n"/>
    </row>
    <row r="38">
      <c r="A38" s="6" t="inlineStr">
        <is>
          <t>Fazenda São João</t>
        </is>
      </c>
      <c r="B38" s="6" t="inlineStr">
        <is>
          <t>Guaraci</t>
        </is>
      </c>
      <c r="C38" s="6" t="n">
        <v>28886</v>
      </c>
      <c r="D38" s="9" t="n">
        <v>13.9616</v>
      </c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6" t="n"/>
      <c r="R38" s="6" t="n"/>
    </row>
    <row r="39">
      <c r="A39" s="5" t="inlineStr">
        <is>
          <t>Fazenda São João</t>
        </is>
      </c>
      <c r="B39" s="5" t="inlineStr">
        <is>
          <t>Guaraci</t>
        </is>
      </c>
      <c r="C39" s="5" t="n">
        <v>28885</v>
      </c>
      <c r="D39" s="11" t="n">
        <v>1767.8734</v>
      </c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5" t="n"/>
      <c r="R39" s="5" t="n"/>
    </row>
    <row r="40">
      <c r="A40" s="6" t="inlineStr">
        <is>
          <t>Fazenda Primavera</t>
        </is>
      </c>
      <c r="B40" s="6" t="inlineStr">
        <is>
          <t>Santo Antonio do Aracanguá</t>
        </is>
      </c>
      <c r="C40" s="6" t="n">
        <v>31031</v>
      </c>
      <c r="D40" s="9" t="n">
        <v>1908.4</v>
      </c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6" t="n"/>
      <c r="R40" s="6" t="n"/>
    </row>
    <row r="41">
      <c r="A41" s="5" t="inlineStr">
        <is>
          <t>Fazenda Primavera</t>
        </is>
      </c>
      <c r="B41" s="5" t="inlineStr">
        <is>
          <t>Santo Antonio do Aracanguá</t>
        </is>
      </c>
      <c r="C41" s="5" t="n">
        <v>30980</v>
      </c>
      <c r="D41" s="11" t="n">
        <v>121</v>
      </c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5" t="n"/>
      <c r="R41" s="5" t="n"/>
    </row>
    <row r="42">
      <c r="A42" s="6" t="inlineStr">
        <is>
          <t>Fazenda Primavera</t>
        </is>
      </c>
      <c r="B42" s="6" t="inlineStr">
        <is>
          <t>Santo Antonio do Aracanguá</t>
        </is>
      </c>
      <c r="C42" s="6" t="n">
        <v>37741</v>
      </c>
      <c r="D42" s="9" t="n">
        <v>133.1182</v>
      </c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6" t="n"/>
      <c r="R42" s="6" t="n"/>
    </row>
    <row r="43">
      <c r="A43" s="5" t="inlineStr">
        <is>
          <t>Fazenda São Pedro</t>
        </is>
      </c>
      <c r="B43" s="5" t="inlineStr">
        <is>
          <t>Altair</t>
        </is>
      </c>
      <c r="C43" s="5" t="n">
        <v>27246</v>
      </c>
      <c r="D43" s="11" t="n">
        <v>14.1328</v>
      </c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5" t="n"/>
      <c r="R43" s="5" t="n"/>
    </row>
    <row r="44">
      <c r="A44" s="6" t="inlineStr">
        <is>
          <t>Fazenda São Pedro</t>
        </is>
      </c>
      <c r="B44" s="6" t="inlineStr">
        <is>
          <t>Altair</t>
        </is>
      </c>
      <c r="C44" s="6" t="n">
        <v>27247</v>
      </c>
      <c r="D44" s="9" t="n">
        <v>19.36</v>
      </c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6" t="n"/>
      <c r="R44" s="6" t="n"/>
    </row>
    <row r="45">
      <c r="A45" s="5" t="inlineStr">
        <is>
          <t>Fazenda São Pedro</t>
        </is>
      </c>
      <c r="B45" s="5" t="inlineStr">
        <is>
          <t>Altair</t>
        </is>
      </c>
      <c r="C45" s="5" t="n">
        <v>1068</v>
      </c>
      <c r="D45" s="11" t="n">
        <v>17.8208</v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5" t="n"/>
      <c r="R45" s="5" t="n"/>
    </row>
    <row r="46">
      <c r="A46" s="6" t="inlineStr">
        <is>
          <t>Fazenda São Pedro</t>
        </is>
      </c>
      <c r="B46" s="6" t="inlineStr">
        <is>
          <t>Altair</t>
        </is>
      </c>
      <c r="C46" s="6" t="n">
        <v>38870</v>
      </c>
      <c r="D46" s="9" t="n">
        <v>59.7517</v>
      </c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6" t="n"/>
      <c r="R46" s="6" t="n"/>
    </row>
    <row r="47">
      <c r="A47" s="5" t="inlineStr">
        <is>
          <t>Fazenda São Pedro</t>
        </is>
      </c>
      <c r="B47" s="5" t="inlineStr">
        <is>
          <t>Altair</t>
        </is>
      </c>
      <c r="C47" s="5" t="n">
        <v>38869</v>
      </c>
      <c r="D47" s="11" t="n">
        <v>33.3907</v>
      </c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5" t="n"/>
      <c r="R47" s="5" t="n"/>
    </row>
    <row r="48">
      <c r="A48" s="6" t="inlineStr">
        <is>
          <t>Fazenda São Pedro</t>
        </is>
      </c>
      <c r="B48" s="6" t="inlineStr">
        <is>
          <t>Altair</t>
        </is>
      </c>
      <c r="C48" s="6" t="n">
        <v>14073</v>
      </c>
      <c r="D48" s="9" t="n">
        <v>87.12</v>
      </c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6" t="n"/>
      <c r="R48" s="6" t="n"/>
    </row>
    <row r="49">
      <c r="A49" s="5" t="inlineStr">
        <is>
          <t>Fazenda Lago Azul</t>
        </is>
      </c>
      <c r="B49" s="5" t="inlineStr">
        <is>
          <t>Teodoro Sampaio</t>
        </is>
      </c>
      <c r="C49" s="5" t="n">
        <v>17063</v>
      </c>
      <c r="D49" s="11" t="n">
        <v>1548.9164</v>
      </c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5" t="n"/>
      <c r="R49" s="5" t="n"/>
    </row>
    <row r="50">
      <c r="A50" s="6" t="inlineStr">
        <is>
          <t>Fazenda São Francisco (S.Pedro) GEO c/ desmembramento</t>
        </is>
      </c>
      <c r="B50" s="6" t="inlineStr">
        <is>
          <t>Guaraci</t>
        </is>
      </c>
      <c r="C50" s="6" t="n">
        <v>52198</v>
      </c>
      <c r="D50" s="9" t="n">
        <v>145.5166</v>
      </c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6" t="n"/>
      <c r="R50" s="6" t="n"/>
    </row>
    <row r="51">
      <c r="A51" s="5" t="inlineStr">
        <is>
          <t>Fazenda São Francisco (S.Pedro) GEO c/ desmembramento</t>
        </is>
      </c>
      <c r="B51" s="5" t="inlineStr">
        <is>
          <t>Guaraci</t>
        </is>
      </c>
      <c r="C51" s="5" t="n">
        <v>52199</v>
      </c>
      <c r="D51" s="11" t="n">
        <v>55.3451</v>
      </c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5" t="n"/>
      <c r="R51" s="5" t="n"/>
    </row>
    <row r="52">
      <c r="A52" s="6" t="inlineStr">
        <is>
          <t>Fazenda São Francisco (S.Pedro) GEO c/ desmembramento</t>
        </is>
      </c>
      <c r="B52" s="6" t="inlineStr">
        <is>
          <t>Guaraci</t>
        </is>
      </c>
      <c r="C52" s="6" t="n">
        <v>52200</v>
      </c>
      <c r="D52" s="9" t="n">
        <v>45.3106</v>
      </c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6" t="n"/>
      <c r="R52" s="6" t="n"/>
    </row>
    <row r="53">
      <c r="A53" s="5" t="inlineStr">
        <is>
          <t>Fazenda São Francisco (S.Pedro) GEO c/ desmembramento</t>
        </is>
      </c>
      <c r="B53" s="5" t="inlineStr">
        <is>
          <t>Guaraci</t>
        </is>
      </c>
      <c r="C53" s="5" t="n">
        <v>89688</v>
      </c>
      <c r="D53" s="11" t="n">
        <v>248.34</v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5" t="n"/>
      <c r="R53" s="5" t="n"/>
    </row>
    <row r="54">
      <c r="A54" s="6" t="inlineStr">
        <is>
          <t>Fazenda São Francisco (S.Pedro) GEO c/ desmembramento</t>
        </is>
      </c>
      <c r="B54" s="6" t="inlineStr">
        <is>
          <t>Guaraci</t>
        </is>
      </c>
      <c r="C54" s="6" t="n">
        <v>89691</v>
      </c>
      <c r="D54" s="9" t="n">
        <v>134.74</v>
      </c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6" t="n"/>
      <c r="R54" s="6" t="n"/>
    </row>
    <row r="55">
      <c r="A55" s="5" t="inlineStr">
        <is>
          <t>Fazenda São Francisco (S.Pedro) GEO c/ desmembramento</t>
        </is>
      </c>
      <c r="B55" s="5" t="inlineStr">
        <is>
          <t>Guaraci</t>
        </is>
      </c>
      <c r="C55" s="5" t="n">
        <v>89692</v>
      </c>
      <c r="D55" s="11" t="n">
        <v>221.34</v>
      </c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5" t="n"/>
      <c r="R55" s="5" t="n"/>
    </row>
    <row r="56">
      <c r="A56" s="6" t="inlineStr">
        <is>
          <t>FAZENDA CÓRREGO RICO - MFG-18000</t>
        </is>
      </c>
      <c r="B56" s="6" t="n"/>
      <c r="C56" s="6" t="inlineStr">
        <is>
          <t>10328 - 14023</t>
        </is>
      </c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6" t="n"/>
      <c r="R56" s="6" t="n"/>
    </row>
    <row r="57">
      <c r="A57" s="5" t="inlineStr">
        <is>
          <t>FAZENDA QUATRO IRMÃOS - SOAs-18001</t>
        </is>
      </c>
      <c r="B57" s="5" t="n"/>
      <c r="C57" s="5" t="inlineStr">
        <is>
          <t>9477</t>
        </is>
      </c>
      <c r="D57" s="5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5" t="n"/>
      <c r="R57" s="5" t="n"/>
    </row>
    <row r="58">
      <c r="A58" s="6" t="inlineStr">
        <is>
          <t>FAZ. GIRASSOIS - GAQ-18002</t>
        </is>
      </c>
      <c r="B58" s="6" t="n"/>
      <c r="C58" s="6" t="inlineStr">
        <is>
          <t>9481</t>
        </is>
      </c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6" t="n"/>
      <c r="R58" s="6" t="n"/>
    </row>
    <row r="59">
      <c r="A59" s="5" t="inlineStr">
        <is>
          <t>FAZ. MANGUE - MQ</t>
        </is>
      </c>
      <c r="B59" s="5" t="n"/>
      <c r="C59" s="5" t="inlineStr">
        <is>
          <t>10487</t>
        </is>
      </c>
      <c r="D59" s="5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5" t="n"/>
      <c r="R59" s="5" t="n"/>
    </row>
    <row r="60">
      <c r="A60" s="6" t="inlineStr">
        <is>
          <t>FAZENDA AGUA DOCE PARTE IV - RJP</t>
        </is>
      </c>
      <c r="B60" s="6" t="n"/>
      <c r="C60" s="6" t="inlineStr">
        <is>
          <t>17035</t>
        </is>
      </c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6" t="n"/>
      <c r="R60" s="6" t="n"/>
    </row>
    <row r="61">
      <c r="A61" s="5" t="inlineStr">
        <is>
          <t>FAZENDA AGUA DOCE PARTE II - MAP</t>
        </is>
      </c>
      <c r="B61" s="5" t="n"/>
      <c r="C61" s="5" t="inlineStr">
        <is>
          <t>17033</t>
        </is>
      </c>
      <c r="D61" s="5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5" t="n"/>
      <c r="R61" s="5" t="n"/>
    </row>
    <row r="62">
      <c r="A62" s="6" t="inlineStr">
        <is>
          <t>FAZENDA ANTONIO BIANCO - SBA</t>
        </is>
      </c>
      <c r="B62" s="6" t="n"/>
      <c r="C62" s="6" t="inlineStr">
        <is>
          <t>11391</t>
        </is>
      </c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6" t="n"/>
      <c r="R62" s="6" t="n"/>
    </row>
    <row r="63">
      <c r="A63" s="5" t="inlineStr">
        <is>
          <t>FAZ. SANTO INACIO - ILMJA</t>
        </is>
      </c>
      <c r="B63" s="5" t="n"/>
      <c r="C63" s="5" t="inlineStr">
        <is>
          <t>14022</t>
        </is>
      </c>
      <c r="D63" s="5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5" t="n"/>
      <c r="R63" s="5" t="n"/>
    </row>
    <row r="64">
      <c r="A64" s="6" t="inlineStr">
        <is>
          <t>FAZENDA CÓRREGO RICO - LAN</t>
        </is>
      </c>
      <c r="B64" s="6" t="n"/>
      <c r="C64" s="6" t="inlineStr">
        <is>
          <t>14021</t>
        </is>
      </c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6" t="n"/>
      <c r="R64" s="6" t="n"/>
    </row>
    <row r="65">
      <c r="A65" s="5" t="inlineStr">
        <is>
          <t>FAZENDA OLIVEIRA - MAO</t>
        </is>
      </c>
      <c r="B65" s="5" t="n"/>
      <c r="C65" s="5" t="inlineStr">
        <is>
          <t>17864</t>
        </is>
      </c>
      <c r="D65" s="5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5" t="n"/>
      <c r="R65" s="5" t="n"/>
    </row>
  </sheetData>
  <autoFilter ref="A1:R1"/>
  <dataValidations count="3">
    <dataValidation sqref="F2:F65" showDropDown="0" showInputMessage="0" showErrorMessage="0" allowBlank="1" type="list">
      <formula1>=Listas!$C$2:$C$8</formula1>
    </dataValidation>
    <dataValidation sqref="K2:K65" showDropDown="0" showInputMessage="0" showErrorMessage="0" allowBlank="1" type="list">
      <formula1>=Listas!$D$2:$D$5</formula1>
    </dataValidation>
    <dataValidation sqref="O2:O65" showDropDown="0" showInputMessage="0" showErrorMessage="0" allowBlank="1" type="list">
      <formula1>=Listas!$E$2:$E$5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A4"/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4" customWidth="1" min="4" max="4"/>
    <col width="24" customWidth="1" min="5" max="5"/>
    <col width="16" customWidth="1" min="6" max="6"/>
    <col width="22" customWidth="1" min="7" max="7"/>
    <col width="18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22" customWidth="1" min="15" max="15"/>
    <col width="18" customWidth="1" min="16" max="16"/>
    <col width="20" customWidth="1" min="17" max="17"/>
    <col width="40" customWidth="1" min="18" max="18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Matrícula</t>
        </is>
      </c>
      <c r="D1" s="4" t="inlineStr">
        <is>
          <t>Tipo de uso</t>
        </is>
      </c>
      <c r="E1" s="4" t="inlineStr">
        <is>
          <t>Corpo hídrico / aquífero</t>
        </is>
      </c>
      <c r="F1" s="4" t="inlineStr">
        <is>
          <t>Órgão outorgante</t>
        </is>
      </c>
      <c r="G1" s="4" t="inlineStr">
        <is>
          <t>N° da portaria / resolução</t>
        </is>
      </c>
      <c r="H1" s="4" t="inlineStr">
        <is>
          <t>N° do processo</t>
        </is>
      </c>
      <c r="I1" s="4" t="inlineStr">
        <is>
          <t>Vazão outorgada (m³/h)</t>
        </is>
      </c>
      <c r="J1" s="4" t="inlineStr">
        <is>
          <t>Regime (h/dia — dias/mês)</t>
        </is>
      </c>
      <c r="K1" s="4" t="inlineStr">
        <is>
          <t>Volume anual (m³)</t>
        </is>
      </c>
      <c r="L1" s="4" t="inlineStr">
        <is>
          <t>Data de emissão</t>
        </is>
      </c>
      <c r="M1" s="4" t="inlineStr">
        <is>
          <t>Validade</t>
        </is>
      </c>
      <c r="N1" s="4" t="inlineStr">
        <is>
          <t>Situação</t>
        </is>
      </c>
      <c r="O1" s="4" t="inlineStr">
        <is>
          <t>Coordenadas do ponto</t>
        </is>
      </c>
      <c r="P1" s="4" t="inlineStr">
        <is>
          <t>UGRHI / bacia</t>
        </is>
      </c>
      <c r="Q1" s="4" t="inlineStr">
        <is>
          <t>Fonte / data da consulta</t>
        </is>
      </c>
      <c r="R1" s="4" t="inlineStr">
        <is>
          <t>Observações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13" t="n"/>
      <c r="M2" s="13" t="n"/>
      <c r="N2" s="6" t="n"/>
      <c r="O2" s="6" t="n"/>
      <c r="P2" s="6" t="n"/>
      <c r="Q2" s="6" t="n"/>
      <c r="R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14" t="n"/>
      <c r="M3" s="14" t="n"/>
      <c r="N3" s="5" t="n"/>
      <c r="O3" s="5" t="n"/>
      <c r="P3" s="5" t="n"/>
      <c r="Q3" s="5" t="n"/>
      <c r="R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13" t="n"/>
      <c r="M4" s="13" t="n"/>
      <c r="N4" s="6" t="n"/>
      <c r="O4" s="6" t="n"/>
      <c r="P4" s="6" t="n"/>
      <c r="Q4" s="6" t="n"/>
      <c r="R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14" t="n"/>
      <c r="M5" s="14" t="n"/>
      <c r="N5" s="5" t="n"/>
      <c r="O5" s="5" t="n"/>
      <c r="P5" s="5" t="n"/>
      <c r="Q5" s="5" t="n"/>
      <c r="R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13" t="n"/>
      <c r="M6" s="13" t="n"/>
      <c r="N6" s="6" t="n"/>
      <c r="O6" s="6" t="n"/>
      <c r="P6" s="6" t="n"/>
      <c r="Q6" s="6" t="n"/>
      <c r="R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14" t="n"/>
      <c r="M7" s="14" t="n"/>
      <c r="N7" s="5" t="n"/>
      <c r="O7" s="5" t="n"/>
      <c r="P7" s="5" t="n"/>
      <c r="Q7" s="5" t="n"/>
      <c r="R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13" t="n"/>
      <c r="M8" s="13" t="n"/>
      <c r="N8" s="6" t="n"/>
      <c r="O8" s="6" t="n"/>
      <c r="P8" s="6" t="n"/>
      <c r="Q8" s="6" t="n"/>
      <c r="R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14" t="n"/>
      <c r="M9" s="14" t="n"/>
      <c r="N9" s="5" t="n"/>
      <c r="O9" s="5" t="n"/>
      <c r="P9" s="5" t="n"/>
      <c r="Q9" s="5" t="n"/>
      <c r="R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13" t="n"/>
      <c r="M10" s="13" t="n"/>
      <c r="N10" s="6" t="n"/>
      <c r="O10" s="6" t="n"/>
      <c r="P10" s="6" t="n"/>
      <c r="Q10" s="6" t="n"/>
      <c r="R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14" t="n"/>
      <c r="M11" s="14" t="n"/>
      <c r="N11" s="5" t="n"/>
      <c r="O11" s="5" t="n"/>
      <c r="P11" s="5" t="n"/>
      <c r="Q11" s="5" t="n"/>
      <c r="R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13" t="n"/>
      <c r="M12" s="13" t="n"/>
      <c r="N12" s="6" t="n"/>
      <c r="O12" s="6" t="n"/>
      <c r="P12" s="6" t="n"/>
      <c r="Q12" s="6" t="n"/>
      <c r="R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4" t="n"/>
      <c r="M13" s="14" t="n"/>
      <c r="N13" s="5" t="n"/>
      <c r="O13" s="5" t="n"/>
      <c r="P13" s="5" t="n"/>
      <c r="Q13" s="5" t="n"/>
      <c r="R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13" t="n"/>
      <c r="M14" s="13" t="n"/>
      <c r="N14" s="6" t="n"/>
      <c r="O14" s="6" t="n"/>
      <c r="P14" s="6" t="n"/>
      <c r="Q14" s="6" t="n"/>
      <c r="R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4" t="n"/>
      <c r="M15" s="14" t="n"/>
      <c r="N15" s="5" t="n"/>
      <c r="O15" s="5" t="n"/>
      <c r="P15" s="5" t="n"/>
      <c r="Q15" s="5" t="n"/>
      <c r="R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13" t="n"/>
      <c r="M16" s="13" t="n"/>
      <c r="N16" s="6" t="n"/>
      <c r="O16" s="6" t="n"/>
      <c r="P16" s="6" t="n"/>
      <c r="Q16" s="6" t="n"/>
      <c r="R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4" t="n"/>
      <c r="M17" s="14" t="n"/>
      <c r="N17" s="5" t="n"/>
      <c r="O17" s="5" t="n"/>
      <c r="P17" s="5" t="n"/>
      <c r="Q17" s="5" t="n"/>
      <c r="R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13" t="n"/>
      <c r="M18" s="13" t="n"/>
      <c r="N18" s="6" t="n"/>
      <c r="O18" s="6" t="n"/>
      <c r="P18" s="6" t="n"/>
      <c r="Q18" s="6" t="n"/>
      <c r="R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4" t="n"/>
      <c r="M19" s="14" t="n"/>
      <c r="N19" s="5" t="n"/>
      <c r="O19" s="5" t="n"/>
      <c r="P19" s="5" t="n"/>
      <c r="Q19" s="5" t="n"/>
      <c r="R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13" t="n"/>
      <c r="M20" s="13" t="n"/>
      <c r="N20" s="6" t="n"/>
      <c r="O20" s="6" t="n"/>
      <c r="P20" s="6" t="n"/>
      <c r="Q20" s="6" t="n"/>
      <c r="R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4" t="n"/>
      <c r="M21" s="14" t="n"/>
      <c r="N21" s="5" t="n"/>
      <c r="O21" s="5" t="n"/>
      <c r="P21" s="5" t="n"/>
      <c r="Q21" s="5" t="n"/>
      <c r="R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13" t="n"/>
      <c r="M22" s="13" t="n"/>
      <c r="N22" s="6" t="n"/>
      <c r="O22" s="6" t="n"/>
      <c r="P22" s="6" t="n"/>
      <c r="Q22" s="6" t="n"/>
      <c r="R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4" t="n"/>
      <c r="M23" s="14" t="n"/>
      <c r="N23" s="5" t="n"/>
      <c r="O23" s="5" t="n"/>
      <c r="P23" s="5" t="n"/>
      <c r="Q23" s="5" t="n"/>
      <c r="R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13" t="n"/>
      <c r="M24" s="13" t="n"/>
      <c r="N24" s="6" t="n"/>
      <c r="O24" s="6" t="n"/>
      <c r="P24" s="6" t="n"/>
      <c r="Q24" s="6" t="n"/>
      <c r="R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14" t="n"/>
      <c r="M25" s="14" t="n"/>
      <c r="N25" s="5" t="n"/>
      <c r="O25" s="5" t="n"/>
      <c r="P25" s="5" t="n"/>
      <c r="Q25" s="5" t="n"/>
      <c r="R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13" t="n"/>
      <c r="M26" s="13" t="n"/>
      <c r="N26" s="6" t="n"/>
      <c r="O26" s="6" t="n"/>
      <c r="P26" s="6" t="n"/>
      <c r="Q26" s="6" t="n"/>
      <c r="R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4" t="n"/>
      <c r="M27" s="14" t="n"/>
      <c r="N27" s="5" t="n"/>
      <c r="O27" s="5" t="n"/>
      <c r="P27" s="5" t="n"/>
      <c r="Q27" s="5" t="n"/>
      <c r="R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13" t="n"/>
      <c r="M28" s="13" t="n"/>
      <c r="N28" s="6" t="n"/>
      <c r="O28" s="6" t="n"/>
      <c r="P28" s="6" t="n"/>
      <c r="Q28" s="6" t="n"/>
      <c r="R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14" t="n"/>
      <c r="M29" s="14" t="n"/>
      <c r="N29" s="5" t="n"/>
      <c r="O29" s="5" t="n"/>
      <c r="P29" s="5" t="n"/>
      <c r="Q29" s="5" t="n"/>
      <c r="R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13" t="n"/>
      <c r="M30" s="13" t="n"/>
      <c r="N30" s="6" t="n"/>
      <c r="O30" s="6" t="n"/>
      <c r="P30" s="6" t="n"/>
      <c r="Q30" s="6" t="n"/>
      <c r="R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14" t="n"/>
      <c r="M31" s="14" t="n"/>
      <c r="N31" s="5" t="n"/>
      <c r="O31" s="5" t="n"/>
      <c r="P31" s="5" t="n"/>
      <c r="Q31" s="5" t="n"/>
      <c r="R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13" t="n"/>
      <c r="M32" s="13" t="n"/>
      <c r="N32" s="6" t="n"/>
      <c r="O32" s="6" t="n"/>
      <c r="P32" s="6" t="n"/>
      <c r="Q32" s="6" t="n"/>
      <c r="R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14" t="n"/>
      <c r="M33" s="14" t="n"/>
      <c r="N33" s="5" t="n"/>
      <c r="O33" s="5" t="n"/>
      <c r="P33" s="5" t="n"/>
      <c r="Q33" s="5" t="n"/>
      <c r="R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13" t="n"/>
      <c r="M34" s="13" t="n"/>
      <c r="N34" s="6" t="n"/>
      <c r="O34" s="6" t="n"/>
      <c r="P34" s="6" t="n"/>
      <c r="Q34" s="6" t="n"/>
      <c r="R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14" t="n"/>
      <c r="M35" s="14" t="n"/>
      <c r="N35" s="5" t="n"/>
      <c r="O35" s="5" t="n"/>
      <c r="P35" s="5" t="n"/>
      <c r="Q35" s="5" t="n"/>
      <c r="R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13" t="n"/>
      <c r="M36" s="13" t="n"/>
      <c r="N36" s="6" t="n"/>
      <c r="O36" s="6" t="n"/>
      <c r="P36" s="6" t="n"/>
      <c r="Q36" s="6" t="n"/>
      <c r="R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14" t="n"/>
      <c r="M37" s="14" t="n"/>
      <c r="N37" s="5" t="n"/>
      <c r="O37" s="5" t="n"/>
      <c r="P37" s="5" t="n"/>
      <c r="Q37" s="5" t="n"/>
      <c r="R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13" t="n"/>
      <c r="M38" s="13" t="n"/>
      <c r="N38" s="6" t="n"/>
      <c r="O38" s="6" t="n"/>
      <c r="P38" s="6" t="n"/>
      <c r="Q38" s="6" t="n"/>
      <c r="R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14" t="n"/>
      <c r="M39" s="14" t="n"/>
      <c r="N39" s="5" t="n"/>
      <c r="O39" s="5" t="n"/>
      <c r="P39" s="5" t="n"/>
      <c r="Q39" s="5" t="n"/>
      <c r="R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13" t="n"/>
      <c r="M40" s="13" t="n"/>
      <c r="N40" s="6" t="n"/>
      <c r="O40" s="6" t="n"/>
      <c r="P40" s="6" t="n"/>
      <c r="Q40" s="6" t="n"/>
      <c r="R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14" t="n"/>
      <c r="M41" s="14" t="n"/>
      <c r="N41" s="5" t="n"/>
      <c r="O41" s="5" t="n"/>
      <c r="P41" s="5" t="n"/>
      <c r="Q41" s="5" t="n"/>
      <c r="R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13" t="n"/>
      <c r="M42" s="13" t="n"/>
      <c r="N42" s="6" t="n"/>
      <c r="O42" s="6" t="n"/>
      <c r="P42" s="6" t="n"/>
      <c r="Q42" s="6" t="n"/>
      <c r="R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14" t="n"/>
      <c r="M43" s="14" t="n"/>
      <c r="N43" s="5" t="n"/>
      <c r="O43" s="5" t="n"/>
      <c r="P43" s="5" t="n"/>
      <c r="Q43" s="5" t="n"/>
      <c r="R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13" t="n"/>
      <c r="M44" s="13" t="n"/>
      <c r="N44" s="6" t="n"/>
      <c r="O44" s="6" t="n"/>
      <c r="P44" s="6" t="n"/>
      <c r="Q44" s="6" t="n"/>
      <c r="R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14" t="n"/>
      <c r="M45" s="14" t="n"/>
      <c r="N45" s="5" t="n"/>
      <c r="O45" s="5" t="n"/>
      <c r="P45" s="5" t="n"/>
      <c r="Q45" s="5" t="n"/>
      <c r="R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13" t="n"/>
      <c r="M46" s="13" t="n"/>
      <c r="N46" s="6" t="n"/>
      <c r="O46" s="6" t="n"/>
      <c r="P46" s="6" t="n"/>
      <c r="Q46" s="6" t="n"/>
      <c r="R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14" t="n"/>
      <c r="M47" s="14" t="n"/>
      <c r="N47" s="5" t="n"/>
      <c r="O47" s="5" t="n"/>
      <c r="P47" s="5" t="n"/>
      <c r="Q47" s="5" t="n"/>
      <c r="R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13" t="n"/>
      <c r="M48" s="13" t="n"/>
      <c r="N48" s="6" t="n"/>
      <c r="O48" s="6" t="n"/>
      <c r="P48" s="6" t="n"/>
      <c r="Q48" s="6" t="n"/>
      <c r="R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14" t="n"/>
      <c r="M49" s="14" t="n"/>
      <c r="N49" s="5" t="n"/>
      <c r="O49" s="5" t="n"/>
      <c r="P49" s="5" t="n"/>
      <c r="Q49" s="5" t="n"/>
      <c r="R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13" t="n"/>
      <c r="M50" s="13" t="n"/>
      <c r="N50" s="6" t="n"/>
      <c r="O50" s="6" t="n"/>
      <c r="P50" s="6" t="n"/>
      <c r="Q50" s="6" t="n"/>
      <c r="R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14" t="n"/>
      <c r="M51" s="14" t="n"/>
      <c r="N51" s="5" t="n"/>
      <c r="O51" s="5" t="n"/>
      <c r="P51" s="5" t="n"/>
      <c r="Q51" s="5" t="n"/>
      <c r="R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13" t="n"/>
      <c r="M52" s="13" t="n"/>
      <c r="N52" s="6" t="n"/>
      <c r="O52" s="6" t="n"/>
      <c r="P52" s="6" t="n"/>
      <c r="Q52" s="6" t="n"/>
      <c r="R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14" t="n"/>
      <c r="M53" s="14" t="n"/>
      <c r="N53" s="5" t="n"/>
      <c r="O53" s="5" t="n"/>
      <c r="P53" s="5" t="n"/>
      <c r="Q53" s="5" t="n"/>
      <c r="R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13" t="n"/>
      <c r="M54" s="13" t="n"/>
      <c r="N54" s="6" t="n"/>
      <c r="O54" s="6" t="n"/>
      <c r="P54" s="6" t="n"/>
      <c r="Q54" s="6" t="n"/>
      <c r="R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14" t="n"/>
      <c r="M55" s="14" t="n"/>
      <c r="N55" s="5" t="n"/>
      <c r="O55" s="5" t="n"/>
      <c r="P55" s="5" t="n"/>
      <c r="Q55" s="5" t="n"/>
      <c r="R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13" t="n"/>
      <c r="M56" s="13" t="n"/>
      <c r="N56" s="6" t="n"/>
      <c r="O56" s="6" t="n"/>
      <c r="P56" s="6" t="n"/>
      <c r="Q56" s="6" t="n"/>
      <c r="R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14" t="n"/>
      <c r="M57" s="14" t="n"/>
      <c r="N57" s="5" t="n"/>
      <c r="O57" s="5" t="n"/>
      <c r="P57" s="5" t="n"/>
      <c r="Q57" s="5" t="n"/>
      <c r="R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13" t="n"/>
      <c r="M58" s="13" t="n"/>
      <c r="N58" s="6" t="n"/>
      <c r="O58" s="6" t="n"/>
      <c r="P58" s="6" t="n"/>
      <c r="Q58" s="6" t="n"/>
      <c r="R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14" t="n"/>
      <c r="M59" s="14" t="n"/>
      <c r="N59" s="5" t="n"/>
      <c r="O59" s="5" t="n"/>
      <c r="P59" s="5" t="n"/>
      <c r="Q59" s="5" t="n"/>
      <c r="R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13" t="n"/>
      <c r="M60" s="13" t="n"/>
      <c r="N60" s="6" t="n"/>
      <c r="O60" s="6" t="n"/>
      <c r="P60" s="6" t="n"/>
      <c r="Q60" s="6" t="n"/>
      <c r="R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14" t="n"/>
      <c r="M61" s="14" t="n"/>
      <c r="N61" s="5" t="n"/>
      <c r="O61" s="5" t="n"/>
      <c r="P61" s="5" t="n"/>
      <c r="Q61" s="5" t="n"/>
      <c r="R61" s="5" t="n"/>
    </row>
  </sheetData>
  <autoFilter ref="A1:R1"/>
  <dataValidations count="4">
    <dataValidation sqref="A2:A61" showDropDown="0" showInputMessage="0" showErrorMessage="0" allowBlank="1" type="list">
      <formula1>=Listas!$F$2:$F$31</formula1>
    </dataValidation>
    <dataValidation sqref="D2:D61" showDropDown="0" showInputMessage="0" showErrorMessage="0" allowBlank="1" type="list">
      <formula1>=Listas!$G$2:$G$9</formula1>
    </dataValidation>
    <dataValidation sqref="F2:F61" showDropDown="0" showInputMessage="0" showErrorMessage="0" allowBlank="1" type="list">
      <formula1>=Listas!$H$2:$H$5</formula1>
    </dataValidation>
    <dataValidation sqref="N2:N61" showDropDown="0" showInputMessage="0" showErrorMessage="0" allowBlank="1" type="list">
      <formula1>=Listas!$I$2:$I$8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90A4"/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6" customWidth="1" min="4" max="4"/>
    <col width="20" customWidth="1" min="5" max="5"/>
    <col width="20" customWidth="1" min="6" max="6"/>
    <col width="13" customWidth="1" min="7" max="7"/>
    <col width="46" customWidth="1" min="8" max="8"/>
    <col width="24" customWidth="1" min="9" max="9"/>
    <col width="15" customWidth="1" min="10" max="10"/>
    <col width="20" customWidth="1" min="11" max="11"/>
    <col width="20" customWidth="1" min="12" max="12"/>
    <col width="14" customWidth="1" min="13" max="13"/>
    <col width="15" customWidth="1" min="14" max="14"/>
    <col width="14" customWidth="1" min="15" max="15"/>
    <col width="20" customWidth="1" min="16" max="16"/>
    <col width="20" customWidth="1" min="17" max="17"/>
    <col width="40" customWidth="1" min="18" max="18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Matrícula</t>
        </is>
      </c>
      <c r="D1" s="4" t="inlineStr">
        <is>
          <t>Tipo de documento</t>
        </is>
      </c>
      <c r="E1" s="4" t="inlineStr">
        <is>
          <t>N° do documento</t>
        </is>
      </c>
      <c r="F1" s="4" t="inlineStr">
        <is>
          <t>Órgão</t>
        </is>
      </c>
      <c r="G1" s="4" t="inlineStr">
        <is>
          <t>Data</t>
        </is>
      </c>
      <c r="H1" s="4" t="inlineStr">
        <is>
          <t>Descrição da infração / objeto</t>
        </is>
      </c>
      <c r="I1" s="4" t="inlineStr">
        <is>
          <t>Enquadramento legal</t>
        </is>
      </c>
      <c r="J1" s="4" t="inlineStr">
        <is>
          <t>Valor da multa (R$)</t>
        </is>
      </c>
      <c r="K1" s="4" t="inlineStr">
        <is>
          <t>Situação</t>
        </is>
      </c>
      <c r="L1" s="4" t="inlineStr">
        <is>
          <t>TCRA / TAC vinculado</t>
        </is>
      </c>
      <c r="M1" s="4" t="inlineStr">
        <is>
          <t>Área a recuperar (ha)</t>
        </is>
      </c>
      <c r="N1" s="4" t="inlineStr">
        <is>
          <t>PRAD protocolado</t>
        </is>
      </c>
      <c r="O1" s="4" t="inlineStr">
        <is>
          <t>Prazo de execução</t>
        </is>
      </c>
      <c r="P1" s="4" t="inlineStr">
        <is>
          <t>Status de cumprimento</t>
        </is>
      </c>
      <c r="Q1" s="4" t="inlineStr">
        <is>
          <t>Fonte / data da consulta</t>
        </is>
      </c>
      <c r="R1" s="4" t="inlineStr">
        <is>
          <t>Observações</t>
        </is>
      </c>
    </row>
    <row r="2">
      <c r="A2" s="6" t="n"/>
      <c r="B2" s="6" t="n"/>
      <c r="C2" s="6" t="n"/>
      <c r="D2" s="6" t="n"/>
      <c r="E2" s="6" t="n"/>
      <c r="F2" s="6" t="n"/>
      <c r="G2" s="13" t="n"/>
      <c r="H2" s="6" t="n"/>
      <c r="I2" s="6" t="n"/>
      <c r="J2" s="15" t="n"/>
      <c r="K2" s="6" t="n"/>
      <c r="L2" s="6" t="n"/>
      <c r="M2" s="6" t="n"/>
      <c r="N2" s="6" t="n"/>
      <c r="O2" s="13" t="n"/>
      <c r="P2" s="6" t="n"/>
      <c r="Q2" s="6" t="n"/>
      <c r="R2" s="6" t="n"/>
    </row>
    <row r="3">
      <c r="A3" s="5" t="n"/>
      <c r="B3" s="5" t="n"/>
      <c r="C3" s="5" t="n"/>
      <c r="D3" s="5" t="n"/>
      <c r="E3" s="5" t="n"/>
      <c r="F3" s="5" t="n"/>
      <c r="G3" s="14" t="n"/>
      <c r="H3" s="5" t="n"/>
      <c r="I3" s="5" t="n"/>
      <c r="J3" s="16" t="n"/>
      <c r="K3" s="5" t="n"/>
      <c r="L3" s="5" t="n"/>
      <c r="M3" s="5" t="n"/>
      <c r="N3" s="5" t="n"/>
      <c r="O3" s="14" t="n"/>
      <c r="P3" s="5" t="n"/>
      <c r="Q3" s="5" t="n"/>
      <c r="R3" s="5" t="n"/>
    </row>
    <row r="4">
      <c r="A4" s="6" t="n"/>
      <c r="B4" s="6" t="n"/>
      <c r="C4" s="6" t="n"/>
      <c r="D4" s="6" t="n"/>
      <c r="E4" s="6" t="n"/>
      <c r="F4" s="6" t="n"/>
      <c r="G4" s="13" t="n"/>
      <c r="H4" s="6" t="n"/>
      <c r="I4" s="6" t="n"/>
      <c r="J4" s="15" t="n"/>
      <c r="K4" s="6" t="n"/>
      <c r="L4" s="6" t="n"/>
      <c r="M4" s="6" t="n"/>
      <c r="N4" s="6" t="n"/>
      <c r="O4" s="13" t="n"/>
      <c r="P4" s="6" t="n"/>
      <c r="Q4" s="6" t="n"/>
      <c r="R4" s="6" t="n"/>
    </row>
    <row r="5">
      <c r="A5" s="5" t="n"/>
      <c r="B5" s="5" t="n"/>
      <c r="C5" s="5" t="n"/>
      <c r="D5" s="5" t="n"/>
      <c r="E5" s="5" t="n"/>
      <c r="F5" s="5" t="n"/>
      <c r="G5" s="14" t="n"/>
      <c r="H5" s="5" t="n"/>
      <c r="I5" s="5" t="n"/>
      <c r="J5" s="16" t="n"/>
      <c r="K5" s="5" t="n"/>
      <c r="L5" s="5" t="n"/>
      <c r="M5" s="5" t="n"/>
      <c r="N5" s="5" t="n"/>
      <c r="O5" s="14" t="n"/>
      <c r="P5" s="5" t="n"/>
      <c r="Q5" s="5" t="n"/>
      <c r="R5" s="5" t="n"/>
    </row>
    <row r="6">
      <c r="A6" s="6" t="n"/>
      <c r="B6" s="6" t="n"/>
      <c r="C6" s="6" t="n"/>
      <c r="D6" s="6" t="n"/>
      <c r="E6" s="6" t="n"/>
      <c r="F6" s="6" t="n"/>
      <c r="G6" s="13" t="n"/>
      <c r="H6" s="6" t="n"/>
      <c r="I6" s="6" t="n"/>
      <c r="J6" s="15" t="n"/>
      <c r="K6" s="6" t="n"/>
      <c r="L6" s="6" t="n"/>
      <c r="M6" s="6" t="n"/>
      <c r="N6" s="6" t="n"/>
      <c r="O6" s="13" t="n"/>
      <c r="P6" s="6" t="n"/>
      <c r="Q6" s="6" t="n"/>
      <c r="R6" s="6" t="n"/>
    </row>
    <row r="7">
      <c r="A7" s="5" t="n"/>
      <c r="B7" s="5" t="n"/>
      <c r="C7" s="5" t="n"/>
      <c r="D7" s="5" t="n"/>
      <c r="E7" s="5" t="n"/>
      <c r="F7" s="5" t="n"/>
      <c r="G7" s="14" t="n"/>
      <c r="H7" s="5" t="n"/>
      <c r="I7" s="5" t="n"/>
      <c r="J7" s="16" t="n"/>
      <c r="K7" s="5" t="n"/>
      <c r="L7" s="5" t="n"/>
      <c r="M7" s="5" t="n"/>
      <c r="N7" s="5" t="n"/>
      <c r="O7" s="14" t="n"/>
      <c r="P7" s="5" t="n"/>
      <c r="Q7" s="5" t="n"/>
      <c r="R7" s="5" t="n"/>
    </row>
    <row r="8">
      <c r="A8" s="6" t="n"/>
      <c r="B8" s="6" t="n"/>
      <c r="C8" s="6" t="n"/>
      <c r="D8" s="6" t="n"/>
      <c r="E8" s="6" t="n"/>
      <c r="F8" s="6" t="n"/>
      <c r="G8" s="13" t="n"/>
      <c r="H8" s="6" t="n"/>
      <c r="I8" s="6" t="n"/>
      <c r="J8" s="15" t="n"/>
      <c r="K8" s="6" t="n"/>
      <c r="L8" s="6" t="n"/>
      <c r="M8" s="6" t="n"/>
      <c r="N8" s="6" t="n"/>
      <c r="O8" s="13" t="n"/>
      <c r="P8" s="6" t="n"/>
      <c r="Q8" s="6" t="n"/>
      <c r="R8" s="6" t="n"/>
    </row>
    <row r="9">
      <c r="A9" s="5" t="n"/>
      <c r="B9" s="5" t="n"/>
      <c r="C9" s="5" t="n"/>
      <c r="D9" s="5" t="n"/>
      <c r="E9" s="5" t="n"/>
      <c r="F9" s="5" t="n"/>
      <c r="G9" s="14" t="n"/>
      <c r="H9" s="5" t="n"/>
      <c r="I9" s="5" t="n"/>
      <c r="J9" s="16" t="n"/>
      <c r="K9" s="5" t="n"/>
      <c r="L9" s="5" t="n"/>
      <c r="M9" s="5" t="n"/>
      <c r="N9" s="5" t="n"/>
      <c r="O9" s="14" t="n"/>
      <c r="P9" s="5" t="n"/>
      <c r="Q9" s="5" t="n"/>
      <c r="R9" s="5" t="n"/>
    </row>
    <row r="10">
      <c r="A10" s="6" t="n"/>
      <c r="B10" s="6" t="n"/>
      <c r="C10" s="6" t="n"/>
      <c r="D10" s="6" t="n"/>
      <c r="E10" s="6" t="n"/>
      <c r="F10" s="6" t="n"/>
      <c r="G10" s="13" t="n"/>
      <c r="H10" s="6" t="n"/>
      <c r="I10" s="6" t="n"/>
      <c r="J10" s="15" t="n"/>
      <c r="K10" s="6" t="n"/>
      <c r="L10" s="6" t="n"/>
      <c r="M10" s="6" t="n"/>
      <c r="N10" s="6" t="n"/>
      <c r="O10" s="13" t="n"/>
      <c r="P10" s="6" t="n"/>
      <c r="Q10" s="6" t="n"/>
      <c r="R10" s="6" t="n"/>
    </row>
    <row r="11">
      <c r="A11" s="5" t="n"/>
      <c r="B11" s="5" t="n"/>
      <c r="C11" s="5" t="n"/>
      <c r="D11" s="5" t="n"/>
      <c r="E11" s="5" t="n"/>
      <c r="F11" s="5" t="n"/>
      <c r="G11" s="14" t="n"/>
      <c r="H11" s="5" t="n"/>
      <c r="I11" s="5" t="n"/>
      <c r="J11" s="16" t="n"/>
      <c r="K11" s="5" t="n"/>
      <c r="L11" s="5" t="n"/>
      <c r="M11" s="5" t="n"/>
      <c r="N11" s="5" t="n"/>
      <c r="O11" s="14" t="n"/>
      <c r="P11" s="5" t="n"/>
      <c r="Q11" s="5" t="n"/>
      <c r="R11" s="5" t="n"/>
    </row>
    <row r="12">
      <c r="A12" s="6" t="n"/>
      <c r="B12" s="6" t="n"/>
      <c r="C12" s="6" t="n"/>
      <c r="D12" s="6" t="n"/>
      <c r="E12" s="6" t="n"/>
      <c r="F12" s="6" t="n"/>
      <c r="G12" s="13" t="n"/>
      <c r="H12" s="6" t="n"/>
      <c r="I12" s="6" t="n"/>
      <c r="J12" s="15" t="n"/>
      <c r="K12" s="6" t="n"/>
      <c r="L12" s="6" t="n"/>
      <c r="M12" s="6" t="n"/>
      <c r="N12" s="6" t="n"/>
      <c r="O12" s="13" t="n"/>
      <c r="P12" s="6" t="n"/>
      <c r="Q12" s="6" t="n"/>
      <c r="R12" s="6" t="n"/>
    </row>
    <row r="13">
      <c r="A13" s="5" t="n"/>
      <c r="B13" s="5" t="n"/>
      <c r="C13" s="5" t="n"/>
      <c r="D13" s="5" t="n"/>
      <c r="E13" s="5" t="n"/>
      <c r="F13" s="5" t="n"/>
      <c r="G13" s="14" t="n"/>
      <c r="H13" s="5" t="n"/>
      <c r="I13" s="5" t="n"/>
      <c r="J13" s="16" t="n"/>
      <c r="K13" s="5" t="n"/>
      <c r="L13" s="5" t="n"/>
      <c r="M13" s="5" t="n"/>
      <c r="N13" s="5" t="n"/>
      <c r="O13" s="14" t="n"/>
      <c r="P13" s="5" t="n"/>
      <c r="Q13" s="5" t="n"/>
      <c r="R13" s="5" t="n"/>
    </row>
    <row r="14">
      <c r="A14" s="6" t="n"/>
      <c r="B14" s="6" t="n"/>
      <c r="C14" s="6" t="n"/>
      <c r="D14" s="6" t="n"/>
      <c r="E14" s="6" t="n"/>
      <c r="F14" s="6" t="n"/>
      <c r="G14" s="13" t="n"/>
      <c r="H14" s="6" t="n"/>
      <c r="I14" s="6" t="n"/>
      <c r="J14" s="15" t="n"/>
      <c r="K14" s="6" t="n"/>
      <c r="L14" s="6" t="n"/>
      <c r="M14" s="6" t="n"/>
      <c r="N14" s="6" t="n"/>
      <c r="O14" s="13" t="n"/>
      <c r="P14" s="6" t="n"/>
      <c r="Q14" s="6" t="n"/>
      <c r="R14" s="6" t="n"/>
    </row>
    <row r="15">
      <c r="A15" s="5" t="n"/>
      <c r="B15" s="5" t="n"/>
      <c r="C15" s="5" t="n"/>
      <c r="D15" s="5" t="n"/>
      <c r="E15" s="5" t="n"/>
      <c r="F15" s="5" t="n"/>
      <c r="G15" s="14" t="n"/>
      <c r="H15" s="5" t="n"/>
      <c r="I15" s="5" t="n"/>
      <c r="J15" s="16" t="n"/>
      <c r="K15" s="5" t="n"/>
      <c r="L15" s="5" t="n"/>
      <c r="M15" s="5" t="n"/>
      <c r="N15" s="5" t="n"/>
      <c r="O15" s="14" t="n"/>
      <c r="P15" s="5" t="n"/>
      <c r="Q15" s="5" t="n"/>
      <c r="R15" s="5" t="n"/>
    </row>
    <row r="16">
      <c r="A16" s="6" t="n"/>
      <c r="B16" s="6" t="n"/>
      <c r="C16" s="6" t="n"/>
      <c r="D16" s="6" t="n"/>
      <c r="E16" s="6" t="n"/>
      <c r="F16" s="6" t="n"/>
      <c r="G16" s="13" t="n"/>
      <c r="H16" s="6" t="n"/>
      <c r="I16" s="6" t="n"/>
      <c r="J16" s="15" t="n"/>
      <c r="K16" s="6" t="n"/>
      <c r="L16" s="6" t="n"/>
      <c r="M16" s="6" t="n"/>
      <c r="N16" s="6" t="n"/>
      <c r="O16" s="13" t="n"/>
      <c r="P16" s="6" t="n"/>
      <c r="Q16" s="6" t="n"/>
      <c r="R16" s="6" t="n"/>
    </row>
    <row r="17">
      <c r="A17" s="5" t="n"/>
      <c r="B17" s="5" t="n"/>
      <c r="C17" s="5" t="n"/>
      <c r="D17" s="5" t="n"/>
      <c r="E17" s="5" t="n"/>
      <c r="F17" s="5" t="n"/>
      <c r="G17" s="14" t="n"/>
      <c r="H17" s="5" t="n"/>
      <c r="I17" s="5" t="n"/>
      <c r="J17" s="16" t="n"/>
      <c r="K17" s="5" t="n"/>
      <c r="L17" s="5" t="n"/>
      <c r="M17" s="5" t="n"/>
      <c r="N17" s="5" t="n"/>
      <c r="O17" s="14" t="n"/>
      <c r="P17" s="5" t="n"/>
      <c r="Q17" s="5" t="n"/>
      <c r="R17" s="5" t="n"/>
    </row>
    <row r="18">
      <c r="A18" s="6" t="n"/>
      <c r="B18" s="6" t="n"/>
      <c r="C18" s="6" t="n"/>
      <c r="D18" s="6" t="n"/>
      <c r="E18" s="6" t="n"/>
      <c r="F18" s="6" t="n"/>
      <c r="G18" s="13" t="n"/>
      <c r="H18" s="6" t="n"/>
      <c r="I18" s="6" t="n"/>
      <c r="J18" s="15" t="n"/>
      <c r="K18" s="6" t="n"/>
      <c r="L18" s="6" t="n"/>
      <c r="M18" s="6" t="n"/>
      <c r="N18" s="6" t="n"/>
      <c r="O18" s="13" t="n"/>
      <c r="P18" s="6" t="n"/>
      <c r="Q18" s="6" t="n"/>
      <c r="R18" s="6" t="n"/>
    </row>
    <row r="19">
      <c r="A19" s="5" t="n"/>
      <c r="B19" s="5" t="n"/>
      <c r="C19" s="5" t="n"/>
      <c r="D19" s="5" t="n"/>
      <c r="E19" s="5" t="n"/>
      <c r="F19" s="5" t="n"/>
      <c r="G19" s="14" t="n"/>
      <c r="H19" s="5" t="n"/>
      <c r="I19" s="5" t="n"/>
      <c r="J19" s="16" t="n"/>
      <c r="K19" s="5" t="n"/>
      <c r="L19" s="5" t="n"/>
      <c r="M19" s="5" t="n"/>
      <c r="N19" s="5" t="n"/>
      <c r="O19" s="14" t="n"/>
      <c r="P19" s="5" t="n"/>
      <c r="Q19" s="5" t="n"/>
      <c r="R19" s="5" t="n"/>
    </row>
    <row r="20">
      <c r="A20" s="6" t="n"/>
      <c r="B20" s="6" t="n"/>
      <c r="C20" s="6" t="n"/>
      <c r="D20" s="6" t="n"/>
      <c r="E20" s="6" t="n"/>
      <c r="F20" s="6" t="n"/>
      <c r="G20" s="13" t="n"/>
      <c r="H20" s="6" t="n"/>
      <c r="I20" s="6" t="n"/>
      <c r="J20" s="15" t="n"/>
      <c r="K20" s="6" t="n"/>
      <c r="L20" s="6" t="n"/>
      <c r="M20" s="6" t="n"/>
      <c r="N20" s="6" t="n"/>
      <c r="O20" s="13" t="n"/>
      <c r="P20" s="6" t="n"/>
      <c r="Q20" s="6" t="n"/>
      <c r="R20" s="6" t="n"/>
    </row>
    <row r="21">
      <c r="A21" s="5" t="n"/>
      <c r="B21" s="5" t="n"/>
      <c r="C21" s="5" t="n"/>
      <c r="D21" s="5" t="n"/>
      <c r="E21" s="5" t="n"/>
      <c r="F21" s="5" t="n"/>
      <c r="G21" s="14" t="n"/>
      <c r="H21" s="5" t="n"/>
      <c r="I21" s="5" t="n"/>
      <c r="J21" s="16" t="n"/>
      <c r="K21" s="5" t="n"/>
      <c r="L21" s="5" t="n"/>
      <c r="M21" s="5" t="n"/>
      <c r="N21" s="5" t="n"/>
      <c r="O21" s="14" t="n"/>
      <c r="P21" s="5" t="n"/>
      <c r="Q21" s="5" t="n"/>
      <c r="R21" s="5" t="n"/>
    </row>
    <row r="22">
      <c r="A22" s="6" t="n"/>
      <c r="B22" s="6" t="n"/>
      <c r="C22" s="6" t="n"/>
      <c r="D22" s="6" t="n"/>
      <c r="E22" s="6" t="n"/>
      <c r="F22" s="6" t="n"/>
      <c r="G22" s="13" t="n"/>
      <c r="H22" s="6" t="n"/>
      <c r="I22" s="6" t="n"/>
      <c r="J22" s="15" t="n"/>
      <c r="K22" s="6" t="n"/>
      <c r="L22" s="6" t="n"/>
      <c r="M22" s="6" t="n"/>
      <c r="N22" s="6" t="n"/>
      <c r="O22" s="13" t="n"/>
      <c r="P22" s="6" t="n"/>
      <c r="Q22" s="6" t="n"/>
      <c r="R22" s="6" t="n"/>
    </row>
    <row r="23">
      <c r="A23" s="5" t="n"/>
      <c r="B23" s="5" t="n"/>
      <c r="C23" s="5" t="n"/>
      <c r="D23" s="5" t="n"/>
      <c r="E23" s="5" t="n"/>
      <c r="F23" s="5" t="n"/>
      <c r="G23" s="14" t="n"/>
      <c r="H23" s="5" t="n"/>
      <c r="I23" s="5" t="n"/>
      <c r="J23" s="16" t="n"/>
      <c r="K23" s="5" t="n"/>
      <c r="L23" s="5" t="n"/>
      <c r="M23" s="5" t="n"/>
      <c r="N23" s="5" t="n"/>
      <c r="O23" s="14" t="n"/>
      <c r="P23" s="5" t="n"/>
      <c r="Q23" s="5" t="n"/>
      <c r="R23" s="5" t="n"/>
    </row>
    <row r="24">
      <c r="A24" s="6" t="n"/>
      <c r="B24" s="6" t="n"/>
      <c r="C24" s="6" t="n"/>
      <c r="D24" s="6" t="n"/>
      <c r="E24" s="6" t="n"/>
      <c r="F24" s="6" t="n"/>
      <c r="G24" s="13" t="n"/>
      <c r="H24" s="6" t="n"/>
      <c r="I24" s="6" t="n"/>
      <c r="J24" s="15" t="n"/>
      <c r="K24" s="6" t="n"/>
      <c r="L24" s="6" t="n"/>
      <c r="M24" s="6" t="n"/>
      <c r="N24" s="6" t="n"/>
      <c r="O24" s="13" t="n"/>
      <c r="P24" s="6" t="n"/>
      <c r="Q24" s="6" t="n"/>
      <c r="R24" s="6" t="n"/>
    </row>
    <row r="25">
      <c r="A25" s="5" t="n"/>
      <c r="B25" s="5" t="n"/>
      <c r="C25" s="5" t="n"/>
      <c r="D25" s="5" t="n"/>
      <c r="E25" s="5" t="n"/>
      <c r="F25" s="5" t="n"/>
      <c r="G25" s="14" t="n"/>
      <c r="H25" s="5" t="n"/>
      <c r="I25" s="5" t="n"/>
      <c r="J25" s="16" t="n"/>
      <c r="K25" s="5" t="n"/>
      <c r="L25" s="5" t="n"/>
      <c r="M25" s="5" t="n"/>
      <c r="N25" s="5" t="n"/>
      <c r="O25" s="14" t="n"/>
      <c r="P25" s="5" t="n"/>
      <c r="Q25" s="5" t="n"/>
      <c r="R25" s="5" t="n"/>
    </row>
    <row r="26">
      <c r="A26" s="6" t="n"/>
      <c r="B26" s="6" t="n"/>
      <c r="C26" s="6" t="n"/>
      <c r="D26" s="6" t="n"/>
      <c r="E26" s="6" t="n"/>
      <c r="F26" s="6" t="n"/>
      <c r="G26" s="13" t="n"/>
      <c r="H26" s="6" t="n"/>
      <c r="I26" s="6" t="n"/>
      <c r="J26" s="15" t="n"/>
      <c r="K26" s="6" t="n"/>
      <c r="L26" s="6" t="n"/>
      <c r="M26" s="6" t="n"/>
      <c r="N26" s="6" t="n"/>
      <c r="O26" s="13" t="n"/>
      <c r="P26" s="6" t="n"/>
      <c r="Q26" s="6" t="n"/>
      <c r="R26" s="6" t="n"/>
    </row>
    <row r="27">
      <c r="A27" s="5" t="n"/>
      <c r="B27" s="5" t="n"/>
      <c r="C27" s="5" t="n"/>
      <c r="D27" s="5" t="n"/>
      <c r="E27" s="5" t="n"/>
      <c r="F27" s="5" t="n"/>
      <c r="G27" s="14" t="n"/>
      <c r="H27" s="5" t="n"/>
      <c r="I27" s="5" t="n"/>
      <c r="J27" s="16" t="n"/>
      <c r="K27" s="5" t="n"/>
      <c r="L27" s="5" t="n"/>
      <c r="M27" s="5" t="n"/>
      <c r="N27" s="5" t="n"/>
      <c r="O27" s="14" t="n"/>
      <c r="P27" s="5" t="n"/>
      <c r="Q27" s="5" t="n"/>
      <c r="R27" s="5" t="n"/>
    </row>
    <row r="28">
      <c r="A28" s="6" t="n"/>
      <c r="B28" s="6" t="n"/>
      <c r="C28" s="6" t="n"/>
      <c r="D28" s="6" t="n"/>
      <c r="E28" s="6" t="n"/>
      <c r="F28" s="6" t="n"/>
      <c r="G28" s="13" t="n"/>
      <c r="H28" s="6" t="n"/>
      <c r="I28" s="6" t="n"/>
      <c r="J28" s="15" t="n"/>
      <c r="K28" s="6" t="n"/>
      <c r="L28" s="6" t="n"/>
      <c r="M28" s="6" t="n"/>
      <c r="N28" s="6" t="n"/>
      <c r="O28" s="13" t="n"/>
      <c r="P28" s="6" t="n"/>
      <c r="Q28" s="6" t="n"/>
      <c r="R28" s="6" t="n"/>
    </row>
    <row r="29">
      <c r="A29" s="5" t="n"/>
      <c r="B29" s="5" t="n"/>
      <c r="C29" s="5" t="n"/>
      <c r="D29" s="5" t="n"/>
      <c r="E29" s="5" t="n"/>
      <c r="F29" s="5" t="n"/>
      <c r="G29" s="14" t="n"/>
      <c r="H29" s="5" t="n"/>
      <c r="I29" s="5" t="n"/>
      <c r="J29" s="16" t="n"/>
      <c r="K29" s="5" t="n"/>
      <c r="L29" s="5" t="n"/>
      <c r="M29" s="5" t="n"/>
      <c r="N29" s="5" t="n"/>
      <c r="O29" s="14" t="n"/>
      <c r="P29" s="5" t="n"/>
      <c r="Q29" s="5" t="n"/>
      <c r="R29" s="5" t="n"/>
    </row>
    <row r="30">
      <c r="A30" s="6" t="n"/>
      <c r="B30" s="6" t="n"/>
      <c r="C30" s="6" t="n"/>
      <c r="D30" s="6" t="n"/>
      <c r="E30" s="6" t="n"/>
      <c r="F30" s="6" t="n"/>
      <c r="G30" s="13" t="n"/>
      <c r="H30" s="6" t="n"/>
      <c r="I30" s="6" t="n"/>
      <c r="J30" s="15" t="n"/>
      <c r="K30" s="6" t="n"/>
      <c r="L30" s="6" t="n"/>
      <c r="M30" s="6" t="n"/>
      <c r="N30" s="6" t="n"/>
      <c r="O30" s="13" t="n"/>
      <c r="P30" s="6" t="n"/>
      <c r="Q30" s="6" t="n"/>
      <c r="R30" s="6" t="n"/>
    </row>
    <row r="31">
      <c r="A31" s="5" t="n"/>
      <c r="B31" s="5" t="n"/>
      <c r="C31" s="5" t="n"/>
      <c r="D31" s="5" t="n"/>
      <c r="E31" s="5" t="n"/>
      <c r="F31" s="5" t="n"/>
      <c r="G31" s="14" t="n"/>
      <c r="H31" s="5" t="n"/>
      <c r="I31" s="5" t="n"/>
      <c r="J31" s="16" t="n"/>
      <c r="K31" s="5" t="n"/>
      <c r="L31" s="5" t="n"/>
      <c r="M31" s="5" t="n"/>
      <c r="N31" s="5" t="n"/>
      <c r="O31" s="14" t="n"/>
      <c r="P31" s="5" t="n"/>
      <c r="Q31" s="5" t="n"/>
      <c r="R31" s="5" t="n"/>
    </row>
    <row r="32">
      <c r="A32" s="6" t="n"/>
      <c r="B32" s="6" t="n"/>
      <c r="C32" s="6" t="n"/>
      <c r="D32" s="6" t="n"/>
      <c r="E32" s="6" t="n"/>
      <c r="F32" s="6" t="n"/>
      <c r="G32" s="13" t="n"/>
      <c r="H32" s="6" t="n"/>
      <c r="I32" s="6" t="n"/>
      <c r="J32" s="15" t="n"/>
      <c r="K32" s="6" t="n"/>
      <c r="L32" s="6" t="n"/>
      <c r="M32" s="6" t="n"/>
      <c r="N32" s="6" t="n"/>
      <c r="O32" s="13" t="n"/>
      <c r="P32" s="6" t="n"/>
      <c r="Q32" s="6" t="n"/>
      <c r="R32" s="6" t="n"/>
    </row>
    <row r="33">
      <c r="A33" s="5" t="n"/>
      <c r="B33" s="5" t="n"/>
      <c r="C33" s="5" t="n"/>
      <c r="D33" s="5" t="n"/>
      <c r="E33" s="5" t="n"/>
      <c r="F33" s="5" t="n"/>
      <c r="G33" s="14" t="n"/>
      <c r="H33" s="5" t="n"/>
      <c r="I33" s="5" t="n"/>
      <c r="J33" s="16" t="n"/>
      <c r="K33" s="5" t="n"/>
      <c r="L33" s="5" t="n"/>
      <c r="M33" s="5" t="n"/>
      <c r="N33" s="5" t="n"/>
      <c r="O33" s="14" t="n"/>
      <c r="P33" s="5" t="n"/>
      <c r="Q33" s="5" t="n"/>
      <c r="R33" s="5" t="n"/>
    </row>
    <row r="34">
      <c r="A34" s="6" t="n"/>
      <c r="B34" s="6" t="n"/>
      <c r="C34" s="6" t="n"/>
      <c r="D34" s="6" t="n"/>
      <c r="E34" s="6" t="n"/>
      <c r="F34" s="6" t="n"/>
      <c r="G34" s="13" t="n"/>
      <c r="H34" s="6" t="n"/>
      <c r="I34" s="6" t="n"/>
      <c r="J34" s="15" t="n"/>
      <c r="K34" s="6" t="n"/>
      <c r="L34" s="6" t="n"/>
      <c r="M34" s="6" t="n"/>
      <c r="N34" s="6" t="n"/>
      <c r="O34" s="13" t="n"/>
      <c r="P34" s="6" t="n"/>
      <c r="Q34" s="6" t="n"/>
      <c r="R34" s="6" t="n"/>
    </row>
    <row r="35">
      <c r="A35" s="5" t="n"/>
      <c r="B35" s="5" t="n"/>
      <c r="C35" s="5" t="n"/>
      <c r="D35" s="5" t="n"/>
      <c r="E35" s="5" t="n"/>
      <c r="F35" s="5" t="n"/>
      <c r="G35" s="14" t="n"/>
      <c r="H35" s="5" t="n"/>
      <c r="I35" s="5" t="n"/>
      <c r="J35" s="16" t="n"/>
      <c r="K35" s="5" t="n"/>
      <c r="L35" s="5" t="n"/>
      <c r="M35" s="5" t="n"/>
      <c r="N35" s="5" t="n"/>
      <c r="O35" s="14" t="n"/>
      <c r="P35" s="5" t="n"/>
      <c r="Q35" s="5" t="n"/>
      <c r="R35" s="5" t="n"/>
    </row>
    <row r="36">
      <c r="A36" s="6" t="n"/>
      <c r="B36" s="6" t="n"/>
      <c r="C36" s="6" t="n"/>
      <c r="D36" s="6" t="n"/>
      <c r="E36" s="6" t="n"/>
      <c r="F36" s="6" t="n"/>
      <c r="G36" s="13" t="n"/>
      <c r="H36" s="6" t="n"/>
      <c r="I36" s="6" t="n"/>
      <c r="J36" s="15" t="n"/>
      <c r="K36" s="6" t="n"/>
      <c r="L36" s="6" t="n"/>
      <c r="M36" s="6" t="n"/>
      <c r="N36" s="6" t="n"/>
      <c r="O36" s="13" t="n"/>
      <c r="P36" s="6" t="n"/>
      <c r="Q36" s="6" t="n"/>
      <c r="R36" s="6" t="n"/>
    </row>
    <row r="37">
      <c r="A37" s="5" t="n"/>
      <c r="B37" s="5" t="n"/>
      <c r="C37" s="5" t="n"/>
      <c r="D37" s="5" t="n"/>
      <c r="E37" s="5" t="n"/>
      <c r="F37" s="5" t="n"/>
      <c r="G37" s="14" t="n"/>
      <c r="H37" s="5" t="n"/>
      <c r="I37" s="5" t="n"/>
      <c r="J37" s="16" t="n"/>
      <c r="K37" s="5" t="n"/>
      <c r="L37" s="5" t="n"/>
      <c r="M37" s="5" t="n"/>
      <c r="N37" s="5" t="n"/>
      <c r="O37" s="14" t="n"/>
      <c r="P37" s="5" t="n"/>
      <c r="Q37" s="5" t="n"/>
      <c r="R37" s="5" t="n"/>
    </row>
    <row r="38">
      <c r="A38" s="6" t="n"/>
      <c r="B38" s="6" t="n"/>
      <c r="C38" s="6" t="n"/>
      <c r="D38" s="6" t="n"/>
      <c r="E38" s="6" t="n"/>
      <c r="F38" s="6" t="n"/>
      <c r="G38" s="13" t="n"/>
      <c r="H38" s="6" t="n"/>
      <c r="I38" s="6" t="n"/>
      <c r="J38" s="15" t="n"/>
      <c r="K38" s="6" t="n"/>
      <c r="L38" s="6" t="n"/>
      <c r="M38" s="6" t="n"/>
      <c r="N38" s="6" t="n"/>
      <c r="O38" s="13" t="n"/>
      <c r="P38" s="6" t="n"/>
      <c r="Q38" s="6" t="n"/>
      <c r="R38" s="6" t="n"/>
    </row>
    <row r="39">
      <c r="A39" s="5" t="n"/>
      <c r="B39" s="5" t="n"/>
      <c r="C39" s="5" t="n"/>
      <c r="D39" s="5" t="n"/>
      <c r="E39" s="5" t="n"/>
      <c r="F39" s="5" t="n"/>
      <c r="G39" s="14" t="n"/>
      <c r="H39" s="5" t="n"/>
      <c r="I39" s="5" t="n"/>
      <c r="J39" s="16" t="n"/>
      <c r="K39" s="5" t="n"/>
      <c r="L39" s="5" t="n"/>
      <c r="M39" s="5" t="n"/>
      <c r="N39" s="5" t="n"/>
      <c r="O39" s="14" t="n"/>
      <c r="P39" s="5" t="n"/>
      <c r="Q39" s="5" t="n"/>
      <c r="R39" s="5" t="n"/>
    </row>
    <row r="40">
      <c r="A40" s="6" t="n"/>
      <c r="B40" s="6" t="n"/>
      <c r="C40" s="6" t="n"/>
      <c r="D40" s="6" t="n"/>
      <c r="E40" s="6" t="n"/>
      <c r="F40" s="6" t="n"/>
      <c r="G40" s="13" t="n"/>
      <c r="H40" s="6" t="n"/>
      <c r="I40" s="6" t="n"/>
      <c r="J40" s="15" t="n"/>
      <c r="K40" s="6" t="n"/>
      <c r="L40" s="6" t="n"/>
      <c r="M40" s="6" t="n"/>
      <c r="N40" s="6" t="n"/>
      <c r="O40" s="13" t="n"/>
      <c r="P40" s="6" t="n"/>
      <c r="Q40" s="6" t="n"/>
      <c r="R40" s="6" t="n"/>
    </row>
    <row r="41">
      <c r="A41" s="5" t="n"/>
      <c r="B41" s="5" t="n"/>
      <c r="C41" s="5" t="n"/>
      <c r="D41" s="5" t="n"/>
      <c r="E41" s="5" t="n"/>
      <c r="F41" s="5" t="n"/>
      <c r="G41" s="14" t="n"/>
      <c r="H41" s="5" t="n"/>
      <c r="I41" s="5" t="n"/>
      <c r="J41" s="16" t="n"/>
      <c r="K41" s="5" t="n"/>
      <c r="L41" s="5" t="n"/>
      <c r="M41" s="5" t="n"/>
      <c r="N41" s="5" t="n"/>
      <c r="O41" s="14" t="n"/>
      <c r="P41" s="5" t="n"/>
      <c r="Q41" s="5" t="n"/>
      <c r="R41" s="5" t="n"/>
    </row>
    <row r="42">
      <c r="A42" s="6" t="n"/>
      <c r="B42" s="6" t="n"/>
      <c r="C42" s="6" t="n"/>
      <c r="D42" s="6" t="n"/>
      <c r="E42" s="6" t="n"/>
      <c r="F42" s="6" t="n"/>
      <c r="G42" s="13" t="n"/>
      <c r="H42" s="6" t="n"/>
      <c r="I42" s="6" t="n"/>
      <c r="J42" s="15" t="n"/>
      <c r="K42" s="6" t="n"/>
      <c r="L42" s="6" t="n"/>
      <c r="M42" s="6" t="n"/>
      <c r="N42" s="6" t="n"/>
      <c r="O42" s="13" t="n"/>
      <c r="P42" s="6" t="n"/>
      <c r="Q42" s="6" t="n"/>
      <c r="R42" s="6" t="n"/>
    </row>
    <row r="43">
      <c r="A43" s="5" t="n"/>
      <c r="B43" s="5" t="n"/>
      <c r="C43" s="5" t="n"/>
      <c r="D43" s="5" t="n"/>
      <c r="E43" s="5" t="n"/>
      <c r="F43" s="5" t="n"/>
      <c r="G43" s="14" t="n"/>
      <c r="H43" s="5" t="n"/>
      <c r="I43" s="5" t="n"/>
      <c r="J43" s="16" t="n"/>
      <c r="K43" s="5" t="n"/>
      <c r="L43" s="5" t="n"/>
      <c r="M43" s="5" t="n"/>
      <c r="N43" s="5" t="n"/>
      <c r="O43" s="14" t="n"/>
      <c r="P43" s="5" t="n"/>
      <c r="Q43" s="5" t="n"/>
      <c r="R43" s="5" t="n"/>
    </row>
    <row r="44">
      <c r="A44" s="6" t="n"/>
      <c r="B44" s="6" t="n"/>
      <c r="C44" s="6" t="n"/>
      <c r="D44" s="6" t="n"/>
      <c r="E44" s="6" t="n"/>
      <c r="F44" s="6" t="n"/>
      <c r="G44" s="13" t="n"/>
      <c r="H44" s="6" t="n"/>
      <c r="I44" s="6" t="n"/>
      <c r="J44" s="15" t="n"/>
      <c r="K44" s="6" t="n"/>
      <c r="L44" s="6" t="n"/>
      <c r="M44" s="6" t="n"/>
      <c r="N44" s="6" t="n"/>
      <c r="O44" s="13" t="n"/>
      <c r="P44" s="6" t="n"/>
      <c r="Q44" s="6" t="n"/>
      <c r="R44" s="6" t="n"/>
    </row>
    <row r="45">
      <c r="A45" s="5" t="n"/>
      <c r="B45" s="5" t="n"/>
      <c r="C45" s="5" t="n"/>
      <c r="D45" s="5" t="n"/>
      <c r="E45" s="5" t="n"/>
      <c r="F45" s="5" t="n"/>
      <c r="G45" s="14" t="n"/>
      <c r="H45" s="5" t="n"/>
      <c r="I45" s="5" t="n"/>
      <c r="J45" s="16" t="n"/>
      <c r="K45" s="5" t="n"/>
      <c r="L45" s="5" t="n"/>
      <c r="M45" s="5" t="n"/>
      <c r="N45" s="5" t="n"/>
      <c r="O45" s="14" t="n"/>
      <c r="P45" s="5" t="n"/>
      <c r="Q45" s="5" t="n"/>
      <c r="R45" s="5" t="n"/>
    </row>
    <row r="46">
      <c r="A46" s="6" t="n"/>
      <c r="B46" s="6" t="n"/>
      <c r="C46" s="6" t="n"/>
      <c r="D46" s="6" t="n"/>
      <c r="E46" s="6" t="n"/>
      <c r="F46" s="6" t="n"/>
      <c r="G46" s="13" t="n"/>
      <c r="H46" s="6" t="n"/>
      <c r="I46" s="6" t="n"/>
      <c r="J46" s="15" t="n"/>
      <c r="K46" s="6" t="n"/>
      <c r="L46" s="6" t="n"/>
      <c r="M46" s="6" t="n"/>
      <c r="N46" s="6" t="n"/>
      <c r="O46" s="13" t="n"/>
      <c r="P46" s="6" t="n"/>
      <c r="Q46" s="6" t="n"/>
      <c r="R46" s="6" t="n"/>
    </row>
    <row r="47">
      <c r="A47" s="5" t="n"/>
      <c r="B47" s="5" t="n"/>
      <c r="C47" s="5" t="n"/>
      <c r="D47" s="5" t="n"/>
      <c r="E47" s="5" t="n"/>
      <c r="F47" s="5" t="n"/>
      <c r="G47" s="14" t="n"/>
      <c r="H47" s="5" t="n"/>
      <c r="I47" s="5" t="n"/>
      <c r="J47" s="16" t="n"/>
      <c r="K47" s="5" t="n"/>
      <c r="L47" s="5" t="n"/>
      <c r="M47" s="5" t="n"/>
      <c r="N47" s="5" t="n"/>
      <c r="O47" s="14" t="n"/>
      <c r="P47" s="5" t="n"/>
      <c r="Q47" s="5" t="n"/>
      <c r="R47" s="5" t="n"/>
    </row>
    <row r="48">
      <c r="A48" s="6" t="n"/>
      <c r="B48" s="6" t="n"/>
      <c r="C48" s="6" t="n"/>
      <c r="D48" s="6" t="n"/>
      <c r="E48" s="6" t="n"/>
      <c r="F48" s="6" t="n"/>
      <c r="G48" s="13" t="n"/>
      <c r="H48" s="6" t="n"/>
      <c r="I48" s="6" t="n"/>
      <c r="J48" s="15" t="n"/>
      <c r="K48" s="6" t="n"/>
      <c r="L48" s="6" t="n"/>
      <c r="M48" s="6" t="n"/>
      <c r="N48" s="6" t="n"/>
      <c r="O48" s="13" t="n"/>
      <c r="P48" s="6" t="n"/>
      <c r="Q48" s="6" t="n"/>
      <c r="R48" s="6" t="n"/>
    </row>
    <row r="49">
      <c r="A49" s="5" t="n"/>
      <c r="B49" s="5" t="n"/>
      <c r="C49" s="5" t="n"/>
      <c r="D49" s="5" t="n"/>
      <c r="E49" s="5" t="n"/>
      <c r="F49" s="5" t="n"/>
      <c r="G49" s="14" t="n"/>
      <c r="H49" s="5" t="n"/>
      <c r="I49" s="5" t="n"/>
      <c r="J49" s="16" t="n"/>
      <c r="K49" s="5" t="n"/>
      <c r="L49" s="5" t="n"/>
      <c r="M49" s="5" t="n"/>
      <c r="N49" s="5" t="n"/>
      <c r="O49" s="14" t="n"/>
      <c r="P49" s="5" t="n"/>
      <c r="Q49" s="5" t="n"/>
      <c r="R49" s="5" t="n"/>
    </row>
    <row r="50">
      <c r="A50" s="6" t="n"/>
      <c r="B50" s="6" t="n"/>
      <c r="C50" s="6" t="n"/>
      <c r="D50" s="6" t="n"/>
      <c r="E50" s="6" t="n"/>
      <c r="F50" s="6" t="n"/>
      <c r="G50" s="13" t="n"/>
      <c r="H50" s="6" t="n"/>
      <c r="I50" s="6" t="n"/>
      <c r="J50" s="15" t="n"/>
      <c r="K50" s="6" t="n"/>
      <c r="L50" s="6" t="n"/>
      <c r="M50" s="6" t="n"/>
      <c r="N50" s="6" t="n"/>
      <c r="O50" s="13" t="n"/>
      <c r="P50" s="6" t="n"/>
      <c r="Q50" s="6" t="n"/>
      <c r="R50" s="6" t="n"/>
    </row>
    <row r="51">
      <c r="A51" s="5" t="n"/>
      <c r="B51" s="5" t="n"/>
      <c r="C51" s="5" t="n"/>
      <c r="D51" s="5" t="n"/>
      <c r="E51" s="5" t="n"/>
      <c r="F51" s="5" t="n"/>
      <c r="G51" s="14" t="n"/>
      <c r="H51" s="5" t="n"/>
      <c r="I51" s="5" t="n"/>
      <c r="J51" s="16" t="n"/>
      <c r="K51" s="5" t="n"/>
      <c r="L51" s="5" t="n"/>
      <c r="M51" s="5" t="n"/>
      <c r="N51" s="5" t="n"/>
      <c r="O51" s="14" t="n"/>
      <c r="P51" s="5" t="n"/>
      <c r="Q51" s="5" t="n"/>
      <c r="R51" s="5" t="n"/>
    </row>
    <row r="52">
      <c r="A52" s="6" t="n"/>
      <c r="B52" s="6" t="n"/>
      <c r="C52" s="6" t="n"/>
      <c r="D52" s="6" t="n"/>
      <c r="E52" s="6" t="n"/>
      <c r="F52" s="6" t="n"/>
      <c r="G52" s="13" t="n"/>
      <c r="H52" s="6" t="n"/>
      <c r="I52" s="6" t="n"/>
      <c r="J52" s="15" t="n"/>
      <c r="K52" s="6" t="n"/>
      <c r="L52" s="6" t="n"/>
      <c r="M52" s="6" t="n"/>
      <c r="N52" s="6" t="n"/>
      <c r="O52" s="13" t="n"/>
      <c r="P52" s="6" t="n"/>
      <c r="Q52" s="6" t="n"/>
      <c r="R52" s="6" t="n"/>
    </row>
    <row r="53">
      <c r="A53" s="5" t="n"/>
      <c r="B53" s="5" t="n"/>
      <c r="C53" s="5" t="n"/>
      <c r="D53" s="5" t="n"/>
      <c r="E53" s="5" t="n"/>
      <c r="F53" s="5" t="n"/>
      <c r="G53" s="14" t="n"/>
      <c r="H53" s="5" t="n"/>
      <c r="I53" s="5" t="n"/>
      <c r="J53" s="16" t="n"/>
      <c r="K53" s="5" t="n"/>
      <c r="L53" s="5" t="n"/>
      <c r="M53" s="5" t="n"/>
      <c r="N53" s="5" t="n"/>
      <c r="O53" s="14" t="n"/>
      <c r="P53" s="5" t="n"/>
      <c r="Q53" s="5" t="n"/>
      <c r="R53" s="5" t="n"/>
    </row>
    <row r="54">
      <c r="A54" s="6" t="n"/>
      <c r="B54" s="6" t="n"/>
      <c r="C54" s="6" t="n"/>
      <c r="D54" s="6" t="n"/>
      <c r="E54" s="6" t="n"/>
      <c r="F54" s="6" t="n"/>
      <c r="G54" s="13" t="n"/>
      <c r="H54" s="6" t="n"/>
      <c r="I54" s="6" t="n"/>
      <c r="J54" s="15" t="n"/>
      <c r="K54" s="6" t="n"/>
      <c r="L54" s="6" t="n"/>
      <c r="M54" s="6" t="n"/>
      <c r="N54" s="6" t="n"/>
      <c r="O54" s="13" t="n"/>
      <c r="P54" s="6" t="n"/>
      <c r="Q54" s="6" t="n"/>
      <c r="R54" s="6" t="n"/>
    </row>
    <row r="55">
      <c r="A55" s="5" t="n"/>
      <c r="B55" s="5" t="n"/>
      <c r="C55" s="5" t="n"/>
      <c r="D55" s="5" t="n"/>
      <c r="E55" s="5" t="n"/>
      <c r="F55" s="5" t="n"/>
      <c r="G55" s="14" t="n"/>
      <c r="H55" s="5" t="n"/>
      <c r="I55" s="5" t="n"/>
      <c r="J55" s="16" t="n"/>
      <c r="K55" s="5" t="n"/>
      <c r="L55" s="5" t="n"/>
      <c r="M55" s="5" t="n"/>
      <c r="N55" s="5" t="n"/>
      <c r="O55" s="14" t="n"/>
      <c r="P55" s="5" t="n"/>
      <c r="Q55" s="5" t="n"/>
      <c r="R55" s="5" t="n"/>
    </row>
    <row r="56">
      <c r="A56" s="6" t="n"/>
      <c r="B56" s="6" t="n"/>
      <c r="C56" s="6" t="n"/>
      <c r="D56" s="6" t="n"/>
      <c r="E56" s="6" t="n"/>
      <c r="F56" s="6" t="n"/>
      <c r="G56" s="13" t="n"/>
      <c r="H56" s="6" t="n"/>
      <c r="I56" s="6" t="n"/>
      <c r="J56" s="15" t="n"/>
      <c r="K56" s="6" t="n"/>
      <c r="L56" s="6" t="n"/>
      <c r="M56" s="6" t="n"/>
      <c r="N56" s="6" t="n"/>
      <c r="O56" s="13" t="n"/>
      <c r="P56" s="6" t="n"/>
      <c r="Q56" s="6" t="n"/>
      <c r="R56" s="6" t="n"/>
    </row>
    <row r="57">
      <c r="A57" s="5" t="n"/>
      <c r="B57" s="5" t="n"/>
      <c r="C57" s="5" t="n"/>
      <c r="D57" s="5" t="n"/>
      <c r="E57" s="5" t="n"/>
      <c r="F57" s="5" t="n"/>
      <c r="G57" s="14" t="n"/>
      <c r="H57" s="5" t="n"/>
      <c r="I57" s="5" t="n"/>
      <c r="J57" s="16" t="n"/>
      <c r="K57" s="5" t="n"/>
      <c r="L57" s="5" t="n"/>
      <c r="M57" s="5" t="n"/>
      <c r="N57" s="5" t="n"/>
      <c r="O57" s="14" t="n"/>
      <c r="P57" s="5" t="n"/>
      <c r="Q57" s="5" t="n"/>
      <c r="R57" s="5" t="n"/>
    </row>
    <row r="58">
      <c r="A58" s="6" t="n"/>
      <c r="B58" s="6" t="n"/>
      <c r="C58" s="6" t="n"/>
      <c r="D58" s="6" t="n"/>
      <c r="E58" s="6" t="n"/>
      <c r="F58" s="6" t="n"/>
      <c r="G58" s="13" t="n"/>
      <c r="H58" s="6" t="n"/>
      <c r="I58" s="6" t="n"/>
      <c r="J58" s="15" t="n"/>
      <c r="K58" s="6" t="n"/>
      <c r="L58" s="6" t="n"/>
      <c r="M58" s="6" t="n"/>
      <c r="N58" s="6" t="n"/>
      <c r="O58" s="13" t="n"/>
      <c r="P58" s="6" t="n"/>
      <c r="Q58" s="6" t="n"/>
      <c r="R58" s="6" t="n"/>
    </row>
    <row r="59">
      <c r="A59" s="5" t="n"/>
      <c r="B59" s="5" t="n"/>
      <c r="C59" s="5" t="n"/>
      <c r="D59" s="5" t="n"/>
      <c r="E59" s="5" t="n"/>
      <c r="F59" s="5" t="n"/>
      <c r="G59" s="14" t="n"/>
      <c r="H59" s="5" t="n"/>
      <c r="I59" s="5" t="n"/>
      <c r="J59" s="16" t="n"/>
      <c r="K59" s="5" t="n"/>
      <c r="L59" s="5" t="n"/>
      <c r="M59" s="5" t="n"/>
      <c r="N59" s="5" t="n"/>
      <c r="O59" s="14" t="n"/>
      <c r="P59" s="5" t="n"/>
      <c r="Q59" s="5" t="n"/>
      <c r="R59" s="5" t="n"/>
    </row>
    <row r="60">
      <c r="A60" s="6" t="n"/>
      <c r="B60" s="6" t="n"/>
      <c r="C60" s="6" t="n"/>
      <c r="D60" s="6" t="n"/>
      <c r="E60" s="6" t="n"/>
      <c r="F60" s="6" t="n"/>
      <c r="G60" s="13" t="n"/>
      <c r="H60" s="6" t="n"/>
      <c r="I60" s="6" t="n"/>
      <c r="J60" s="15" t="n"/>
      <c r="K60" s="6" t="n"/>
      <c r="L60" s="6" t="n"/>
      <c r="M60" s="6" t="n"/>
      <c r="N60" s="6" t="n"/>
      <c r="O60" s="13" t="n"/>
      <c r="P60" s="6" t="n"/>
      <c r="Q60" s="6" t="n"/>
      <c r="R60" s="6" t="n"/>
    </row>
    <row r="61">
      <c r="A61" s="5" t="n"/>
      <c r="B61" s="5" t="n"/>
      <c r="C61" s="5" t="n"/>
      <c r="D61" s="5" t="n"/>
      <c r="E61" s="5" t="n"/>
      <c r="F61" s="5" t="n"/>
      <c r="G61" s="14" t="n"/>
      <c r="H61" s="5" t="n"/>
      <c r="I61" s="5" t="n"/>
      <c r="J61" s="16" t="n"/>
      <c r="K61" s="5" t="n"/>
      <c r="L61" s="5" t="n"/>
      <c r="M61" s="5" t="n"/>
      <c r="N61" s="5" t="n"/>
      <c r="O61" s="14" t="n"/>
      <c r="P61" s="5" t="n"/>
      <c r="Q61" s="5" t="n"/>
      <c r="R61" s="5" t="n"/>
    </row>
  </sheetData>
  <autoFilter ref="A1:R1"/>
  <dataValidations count="6">
    <dataValidation sqref="A2:A61" showDropDown="0" showInputMessage="0" showErrorMessage="0" allowBlank="1" type="list">
      <formula1>=Listas!$F$2:$F$31</formula1>
    </dataValidation>
    <dataValidation sqref="D2:D61" showDropDown="0" showInputMessage="0" showErrorMessage="0" allowBlank="1" type="list">
      <formula1>=Listas!$J$2:$J$8</formula1>
    </dataValidation>
    <dataValidation sqref="F2:F61" showDropDown="0" showInputMessage="0" showErrorMessage="0" allowBlank="1" type="list">
      <formula1>=Listas!$K$2:$K$8</formula1>
    </dataValidation>
    <dataValidation sqref="K2:K61" showDropDown="0" showInputMessage="0" showErrorMessage="0" allowBlank="1" type="list">
      <formula1>=Listas!$L$2:$L$10</formula1>
    </dataValidation>
    <dataValidation sqref="N2:N61" showDropDown="0" showInputMessage="0" showErrorMessage="0" allowBlank="1" type="list">
      <formula1>=Listas!$M$2:$M$5</formula1>
    </dataValidation>
    <dataValidation sqref="P2:P61" showDropDown="0" showInputMessage="0" showErrorMessage="0" allowBlank="1" type="list">
      <formula1>=Listas!$N$2:$N$6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90A4"/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4" customWidth="1" min="4" max="4"/>
    <col width="46" customWidth="1" min="5" max="5"/>
    <col width="15" customWidth="1" min="6" max="6"/>
    <col width="20" customWidth="1" min="7" max="7"/>
    <col width="15" customWidth="1" min="8" max="8"/>
    <col width="40" customWidth="1" min="9" max="9"/>
    <col width="15" customWidth="1" min="10" max="10"/>
    <col width="24" customWidth="1" min="11" max="11"/>
    <col width="20" customWidth="1" min="12" max="12"/>
    <col width="40" customWidth="1" min="13" max="13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N° do processo CETESB</t>
        </is>
      </c>
      <c r="D1" s="4" t="inlineStr">
        <is>
          <t>Agência Ambiental</t>
        </is>
      </c>
      <c r="E1" s="4" t="inlineStr">
        <is>
          <t>Assunto / objeto</t>
        </is>
      </c>
      <c r="F1" s="4" t="inlineStr">
        <is>
          <t>Data de abertura</t>
        </is>
      </c>
      <c r="G1" s="4" t="inlineStr">
        <is>
          <t>Situação</t>
        </is>
      </c>
      <c r="H1" s="4" t="inlineStr">
        <is>
          <t>Última movimentação</t>
        </is>
      </c>
      <c r="I1" s="4" t="inlineStr">
        <is>
          <t>Exigências pendentes</t>
        </is>
      </c>
      <c r="J1" s="4" t="inlineStr">
        <is>
          <t>Prazo de atendimento</t>
        </is>
      </c>
      <c r="K1" s="4" t="inlineStr">
        <is>
          <t>Responsável técnico / ART</t>
        </is>
      </c>
      <c r="L1" s="4" t="inlineStr">
        <is>
          <t>Fonte / data da consulta</t>
        </is>
      </c>
      <c r="M1" s="4" t="inlineStr">
        <is>
          <t>Observações</t>
        </is>
      </c>
    </row>
    <row r="2">
      <c r="A2" s="6" t="n"/>
      <c r="B2" s="6" t="n"/>
      <c r="C2" s="6" t="n"/>
      <c r="D2" s="6" t="n"/>
      <c r="E2" s="6" t="n"/>
      <c r="F2" s="13" t="n"/>
      <c r="G2" s="6" t="n"/>
      <c r="H2" s="13" t="n"/>
      <c r="I2" s="6" t="n"/>
      <c r="J2" s="13" t="n"/>
      <c r="K2" s="6" t="n"/>
      <c r="L2" s="6" t="n"/>
      <c r="M2" s="6" t="n"/>
    </row>
    <row r="3">
      <c r="A3" s="5" t="n"/>
      <c r="B3" s="5" t="n"/>
      <c r="C3" s="5" t="n"/>
      <c r="D3" s="5" t="n"/>
      <c r="E3" s="5" t="n"/>
      <c r="F3" s="14" t="n"/>
      <c r="G3" s="5" t="n"/>
      <c r="H3" s="14" t="n"/>
      <c r="I3" s="5" t="n"/>
      <c r="J3" s="14" t="n"/>
      <c r="K3" s="5" t="n"/>
      <c r="L3" s="5" t="n"/>
      <c r="M3" s="5" t="n"/>
    </row>
    <row r="4">
      <c r="A4" s="6" t="n"/>
      <c r="B4" s="6" t="n"/>
      <c r="C4" s="6" t="n"/>
      <c r="D4" s="6" t="n"/>
      <c r="E4" s="6" t="n"/>
      <c r="F4" s="13" t="n"/>
      <c r="G4" s="6" t="n"/>
      <c r="H4" s="13" t="n"/>
      <c r="I4" s="6" t="n"/>
      <c r="J4" s="13" t="n"/>
      <c r="K4" s="6" t="n"/>
      <c r="L4" s="6" t="n"/>
      <c r="M4" s="6" t="n"/>
    </row>
    <row r="5">
      <c r="A5" s="5" t="n"/>
      <c r="B5" s="5" t="n"/>
      <c r="C5" s="5" t="n"/>
      <c r="D5" s="5" t="n"/>
      <c r="E5" s="5" t="n"/>
      <c r="F5" s="14" t="n"/>
      <c r="G5" s="5" t="n"/>
      <c r="H5" s="14" t="n"/>
      <c r="I5" s="5" t="n"/>
      <c r="J5" s="14" t="n"/>
      <c r="K5" s="5" t="n"/>
      <c r="L5" s="5" t="n"/>
      <c r="M5" s="5" t="n"/>
    </row>
    <row r="6">
      <c r="A6" s="6" t="n"/>
      <c r="B6" s="6" t="n"/>
      <c r="C6" s="6" t="n"/>
      <c r="D6" s="6" t="n"/>
      <c r="E6" s="6" t="n"/>
      <c r="F6" s="13" t="n"/>
      <c r="G6" s="6" t="n"/>
      <c r="H6" s="13" t="n"/>
      <c r="I6" s="6" t="n"/>
      <c r="J6" s="13" t="n"/>
      <c r="K6" s="6" t="n"/>
      <c r="L6" s="6" t="n"/>
      <c r="M6" s="6" t="n"/>
    </row>
    <row r="7">
      <c r="A7" s="5" t="n"/>
      <c r="B7" s="5" t="n"/>
      <c r="C7" s="5" t="n"/>
      <c r="D7" s="5" t="n"/>
      <c r="E7" s="5" t="n"/>
      <c r="F7" s="14" t="n"/>
      <c r="G7" s="5" t="n"/>
      <c r="H7" s="14" t="n"/>
      <c r="I7" s="5" t="n"/>
      <c r="J7" s="14" t="n"/>
      <c r="K7" s="5" t="n"/>
      <c r="L7" s="5" t="n"/>
      <c r="M7" s="5" t="n"/>
    </row>
    <row r="8">
      <c r="A8" s="6" t="n"/>
      <c r="B8" s="6" t="n"/>
      <c r="C8" s="6" t="n"/>
      <c r="D8" s="6" t="n"/>
      <c r="E8" s="6" t="n"/>
      <c r="F8" s="13" t="n"/>
      <c r="G8" s="6" t="n"/>
      <c r="H8" s="13" t="n"/>
      <c r="I8" s="6" t="n"/>
      <c r="J8" s="13" t="n"/>
      <c r="K8" s="6" t="n"/>
      <c r="L8" s="6" t="n"/>
      <c r="M8" s="6" t="n"/>
    </row>
    <row r="9">
      <c r="A9" s="5" t="n"/>
      <c r="B9" s="5" t="n"/>
      <c r="C9" s="5" t="n"/>
      <c r="D9" s="5" t="n"/>
      <c r="E9" s="5" t="n"/>
      <c r="F9" s="14" t="n"/>
      <c r="G9" s="5" t="n"/>
      <c r="H9" s="14" t="n"/>
      <c r="I9" s="5" t="n"/>
      <c r="J9" s="14" t="n"/>
      <c r="K9" s="5" t="n"/>
      <c r="L9" s="5" t="n"/>
      <c r="M9" s="5" t="n"/>
    </row>
    <row r="10">
      <c r="A10" s="6" t="n"/>
      <c r="B10" s="6" t="n"/>
      <c r="C10" s="6" t="n"/>
      <c r="D10" s="6" t="n"/>
      <c r="E10" s="6" t="n"/>
      <c r="F10" s="13" t="n"/>
      <c r="G10" s="6" t="n"/>
      <c r="H10" s="13" t="n"/>
      <c r="I10" s="6" t="n"/>
      <c r="J10" s="13" t="n"/>
      <c r="K10" s="6" t="n"/>
      <c r="L10" s="6" t="n"/>
      <c r="M10" s="6" t="n"/>
    </row>
    <row r="11">
      <c r="A11" s="5" t="n"/>
      <c r="B11" s="5" t="n"/>
      <c r="C11" s="5" t="n"/>
      <c r="D11" s="5" t="n"/>
      <c r="E11" s="5" t="n"/>
      <c r="F11" s="14" t="n"/>
      <c r="G11" s="5" t="n"/>
      <c r="H11" s="14" t="n"/>
      <c r="I11" s="5" t="n"/>
      <c r="J11" s="14" t="n"/>
      <c r="K11" s="5" t="n"/>
      <c r="L11" s="5" t="n"/>
      <c r="M11" s="5" t="n"/>
    </row>
    <row r="12">
      <c r="A12" s="6" t="n"/>
      <c r="B12" s="6" t="n"/>
      <c r="C12" s="6" t="n"/>
      <c r="D12" s="6" t="n"/>
      <c r="E12" s="6" t="n"/>
      <c r="F12" s="13" t="n"/>
      <c r="G12" s="6" t="n"/>
      <c r="H12" s="13" t="n"/>
      <c r="I12" s="6" t="n"/>
      <c r="J12" s="13" t="n"/>
      <c r="K12" s="6" t="n"/>
      <c r="L12" s="6" t="n"/>
      <c r="M12" s="6" t="n"/>
    </row>
    <row r="13">
      <c r="A13" s="5" t="n"/>
      <c r="B13" s="5" t="n"/>
      <c r="C13" s="5" t="n"/>
      <c r="D13" s="5" t="n"/>
      <c r="E13" s="5" t="n"/>
      <c r="F13" s="14" t="n"/>
      <c r="G13" s="5" t="n"/>
      <c r="H13" s="14" t="n"/>
      <c r="I13" s="5" t="n"/>
      <c r="J13" s="14" t="n"/>
      <c r="K13" s="5" t="n"/>
      <c r="L13" s="5" t="n"/>
      <c r="M13" s="5" t="n"/>
    </row>
    <row r="14">
      <c r="A14" s="6" t="n"/>
      <c r="B14" s="6" t="n"/>
      <c r="C14" s="6" t="n"/>
      <c r="D14" s="6" t="n"/>
      <c r="E14" s="6" t="n"/>
      <c r="F14" s="13" t="n"/>
      <c r="G14" s="6" t="n"/>
      <c r="H14" s="13" t="n"/>
      <c r="I14" s="6" t="n"/>
      <c r="J14" s="13" t="n"/>
      <c r="K14" s="6" t="n"/>
      <c r="L14" s="6" t="n"/>
      <c r="M14" s="6" t="n"/>
    </row>
    <row r="15">
      <c r="A15" s="5" t="n"/>
      <c r="B15" s="5" t="n"/>
      <c r="C15" s="5" t="n"/>
      <c r="D15" s="5" t="n"/>
      <c r="E15" s="5" t="n"/>
      <c r="F15" s="14" t="n"/>
      <c r="G15" s="5" t="n"/>
      <c r="H15" s="14" t="n"/>
      <c r="I15" s="5" t="n"/>
      <c r="J15" s="14" t="n"/>
      <c r="K15" s="5" t="n"/>
      <c r="L15" s="5" t="n"/>
      <c r="M15" s="5" t="n"/>
    </row>
    <row r="16">
      <c r="A16" s="6" t="n"/>
      <c r="B16" s="6" t="n"/>
      <c r="C16" s="6" t="n"/>
      <c r="D16" s="6" t="n"/>
      <c r="E16" s="6" t="n"/>
      <c r="F16" s="13" t="n"/>
      <c r="G16" s="6" t="n"/>
      <c r="H16" s="13" t="n"/>
      <c r="I16" s="6" t="n"/>
      <c r="J16" s="13" t="n"/>
      <c r="K16" s="6" t="n"/>
      <c r="L16" s="6" t="n"/>
      <c r="M16" s="6" t="n"/>
    </row>
    <row r="17">
      <c r="A17" s="5" t="n"/>
      <c r="B17" s="5" t="n"/>
      <c r="C17" s="5" t="n"/>
      <c r="D17" s="5" t="n"/>
      <c r="E17" s="5" t="n"/>
      <c r="F17" s="14" t="n"/>
      <c r="G17" s="5" t="n"/>
      <c r="H17" s="14" t="n"/>
      <c r="I17" s="5" t="n"/>
      <c r="J17" s="14" t="n"/>
      <c r="K17" s="5" t="n"/>
      <c r="L17" s="5" t="n"/>
      <c r="M17" s="5" t="n"/>
    </row>
    <row r="18">
      <c r="A18" s="6" t="n"/>
      <c r="B18" s="6" t="n"/>
      <c r="C18" s="6" t="n"/>
      <c r="D18" s="6" t="n"/>
      <c r="E18" s="6" t="n"/>
      <c r="F18" s="13" t="n"/>
      <c r="G18" s="6" t="n"/>
      <c r="H18" s="13" t="n"/>
      <c r="I18" s="6" t="n"/>
      <c r="J18" s="13" t="n"/>
      <c r="K18" s="6" t="n"/>
      <c r="L18" s="6" t="n"/>
      <c r="M18" s="6" t="n"/>
    </row>
    <row r="19">
      <c r="A19" s="5" t="n"/>
      <c r="B19" s="5" t="n"/>
      <c r="C19" s="5" t="n"/>
      <c r="D19" s="5" t="n"/>
      <c r="E19" s="5" t="n"/>
      <c r="F19" s="14" t="n"/>
      <c r="G19" s="5" t="n"/>
      <c r="H19" s="14" t="n"/>
      <c r="I19" s="5" t="n"/>
      <c r="J19" s="14" t="n"/>
      <c r="K19" s="5" t="n"/>
      <c r="L19" s="5" t="n"/>
      <c r="M19" s="5" t="n"/>
    </row>
    <row r="20">
      <c r="A20" s="6" t="n"/>
      <c r="B20" s="6" t="n"/>
      <c r="C20" s="6" t="n"/>
      <c r="D20" s="6" t="n"/>
      <c r="E20" s="6" t="n"/>
      <c r="F20" s="13" t="n"/>
      <c r="G20" s="6" t="n"/>
      <c r="H20" s="13" t="n"/>
      <c r="I20" s="6" t="n"/>
      <c r="J20" s="13" t="n"/>
      <c r="K20" s="6" t="n"/>
      <c r="L20" s="6" t="n"/>
      <c r="M20" s="6" t="n"/>
    </row>
    <row r="21">
      <c r="A21" s="5" t="n"/>
      <c r="B21" s="5" t="n"/>
      <c r="C21" s="5" t="n"/>
      <c r="D21" s="5" t="n"/>
      <c r="E21" s="5" t="n"/>
      <c r="F21" s="14" t="n"/>
      <c r="G21" s="5" t="n"/>
      <c r="H21" s="14" t="n"/>
      <c r="I21" s="5" t="n"/>
      <c r="J21" s="14" t="n"/>
      <c r="K21" s="5" t="n"/>
      <c r="L21" s="5" t="n"/>
      <c r="M21" s="5" t="n"/>
    </row>
    <row r="22">
      <c r="A22" s="6" t="n"/>
      <c r="B22" s="6" t="n"/>
      <c r="C22" s="6" t="n"/>
      <c r="D22" s="6" t="n"/>
      <c r="E22" s="6" t="n"/>
      <c r="F22" s="13" t="n"/>
      <c r="G22" s="6" t="n"/>
      <c r="H22" s="13" t="n"/>
      <c r="I22" s="6" t="n"/>
      <c r="J22" s="13" t="n"/>
      <c r="K22" s="6" t="n"/>
      <c r="L22" s="6" t="n"/>
      <c r="M22" s="6" t="n"/>
    </row>
    <row r="23">
      <c r="A23" s="5" t="n"/>
      <c r="B23" s="5" t="n"/>
      <c r="C23" s="5" t="n"/>
      <c r="D23" s="5" t="n"/>
      <c r="E23" s="5" t="n"/>
      <c r="F23" s="14" t="n"/>
      <c r="G23" s="5" t="n"/>
      <c r="H23" s="14" t="n"/>
      <c r="I23" s="5" t="n"/>
      <c r="J23" s="14" t="n"/>
      <c r="K23" s="5" t="n"/>
      <c r="L23" s="5" t="n"/>
      <c r="M23" s="5" t="n"/>
    </row>
    <row r="24">
      <c r="A24" s="6" t="n"/>
      <c r="B24" s="6" t="n"/>
      <c r="C24" s="6" t="n"/>
      <c r="D24" s="6" t="n"/>
      <c r="E24" s="6" t="n"/>
      <c r="F24" s="13" t="n"/>
      <c r="G24" s="6" t="n"/>
      <c r="H24" s="13" t="n"/>
      <c r="I24" s="6" t="n"/>
      <c r="J24" s="13" t="n"/>
      <c r="K24" s="6" t="n"/>
      <c r="L24" s="6" t="n"/>
      <c r="M24" s="6" t="n"/>
    </row>
    <row r="25">
      <c r="A25" s="5" t="n"/>
      <c r="B25" s="5" t="n"/>
      <c r="C25" s="5" t="n"/>
      <c r="D25" s="5" t="n"/>
      <c r="E25" s="5" t="n"/>
      <c r="F25" s="14" t="n"/>
      <c r="G25" s="5" t="n"/>
      <c r="H25" s="14" t="n"/>
      <c r="I25" s="5" t="n"/>
      <c r="J25" s="14" t="n"/>
      <c r="K25" s="5" t="n"/>
      <c r="L25" s="5" t="n"/>
      <c r="M25" s="5" t="n"/>
    </row>
    <row r="26">
      <c r="A26" s="6" t="n"/>
      <c r="B26" s="6" t="n"/>
      <c r="C26" s="6" t="n"/>
      <c r="D26" s="6" t="n"/>
      <c r="E26" s="6" t="n"/>
      <c r="F26" s="13" t="n"/>
      <c r="G26" s="6" t="n"/>
      <c r="H26" s="13" t="n"/>
      <c r="I26" s="6" t="n"/>
      <c r="J26" s="13" t="n"/>
      <c r="K26" s="6" t="n"/>
      <c r="L26" s="6" t="n"/>
      <c r="M26" s="6" t="n"/>
    </row>
    <row r="27">
      <c r="A27" s="5" t="n"/>
      <c r="B27" s="5" t="n"/>
      <c r="C27" s="5" t="n"/>
      <c r="D27" s="5" t="n"/>
      <c r="E27" s="5" t="n"/>
      <c r="F27" s="14" t="n"/>
      <c r="G27" s="5" t="n"/>
      <c r="H27" s="14" t="n"/>
      <c r="I27" s="5" t="n"/>
      <c r="J27" s="14" t="n"/>
      <c r="K27" s="5" t="n"/>
      <c r="L27" s="5" t="n"/>
      <c r="M27" s="5" t="n"/>
    </row>
    <row r="28">
      <c r="A28" s="6" t="n"/>
      <c r="B28" s="6" t="n"/>
      <c r="C28" s="6" t="n"/>
      <c r="D28" s="6" t="n"/>
      <c r="E28" s="6" t="n"/>
      <c r="F28" s="13" t="n"/>
      <c r="G28" s="6" t="n"/>
      <c r="H28" s="13" t="n"/>
      <c r="I28" s="6" t="n"/>
      <c r="J28" s="13" t="n"/>
      <c r="K28" s="6" t="n"/>
      <c r="L28" s="6" t="n"/>
      <c r="M28" s="6" t="n"/>
    </row>
    <row r="29">
      <c r="A29" s="5" t="n"/>
      <c r="B29" s="5" t="n"/>
      <c r="C29" s="5" t="n"/>
      <c r="D29" s="5" t="n"/>
      <c r="E29" s="5" t="n"/>
      <c r="F29" s="14" t="n"/>
      <c r="G29" s="5" t="n"/>
      <c r="H29" s="14" t="n"/>
      <c r="I29" s="5" t="n"/>
      <c r="J29" s="14" t="n"/>
      <c r="K29" s="5" t="n"/>
      <c r="L29" s="5" t="n"/>
      <c r="M29" s="5" t="n"/>
    </row>
    <row r="30">
      <c r="A30" s="6" t="n"/>
      <c r="B30" s="6" t="n"/>
      <c r="C30" s="6" t="n"/>
      <c r="D30" s="6" t="n"/>
      <c r="E30" s="6" t="n"/>
      <c r="F30" s="13" t="n"/>
      <c r="G30" s="6" t="n"/>
      <c r="H30" s="13" t="n"/>
      <c r="I30" s="6" t="n"/>
      <c r="J30" s="13" t="n"/>
      <c r="K30" s="6" t="n"/>
      <c r="L30" s="6" t="n"/>
      <c r="M30" s="6" t="n"/>
    </row>
    <row r="31">
      <c r="A31" s="5" t="n"/>
      <c r="B31" s="5" t="n"/>
      <c r="C31" s="5" t="n"/>
      <c r="D31" s="5" t="n"/>
      <c r="E31" s="5" t="n"/>
      <c r="F31" s="14" t="n"/>
      <c r="G31" s="5" t="n"/>
      <c r="H31" s="14" t="n"/>
      <c r="I31" s="5" t="n"/>
      <c r="J31" s="14" t="n"/>
      <c r="K31" s="5" t="n"/>
      <c r="L31" s="5" t="n"/>
      <c r="M31" s="5" t="n"/>
    </row>
    <row r="32">
      <c r="A32" s="6" t="n"/>
      <c r="B32" s="6" t="n"/>
      <c r="C32" s="6" t="n"/>
      <c r="D32" s="6" t="n"/>
      <c r="E32" s="6" t="n"/>
      <c r="F32" s="13" t="n"/>
      <c r="G32" s="6" t="n"/>
      <c r="H32" s="13" t="n"/>
      <c r="I32" s="6" t="n"/>
      <c r="J32" s="13" t="n"/>
      <c r="K32" s="6" t="n"/>
      <c r="L32" s="6" t="n"/>
      <c r="M32" s="6" t="n"/>
    </row>
    <row r="33">
      <c r="A33" s="5" t="n"/>
      <c r="B33" s="5" t="n"/>
      <c r="C33" s="5" t="n"/>
      <c r="D33" s="5" t="n"/>
      <c r="E33" s="5" t="n"/>
      <c r="F33" s="14" t="n"/>
      <c r="G33" s="5" t="n"/>
      <c r="H33" s="14" t="n"/>
      <c r="I33" s="5" t="n"/>
      <c r="J33" s="14" t="n"/>
      <c r="K33" s="5" t="n"/>
      <c r="L33" s="5" t="n"/>
      <c r="M33" s="5" t="n"/>
    </row>
    <row r="34">
      <c r="A34" s="6" t="n"/>
      <c r="B34" s="6" t="n"/>
      <c r="C34" s="6" t="n"/>
      <c r="D34" s="6" t="n"/>
      <c r="E34" s="6" t="n"/>
      <c r="F34" s="13" t="n"/>
      <c r="G34" s="6" t="n"/>
      <c r="H34" s="13" t="n"/>
      <c r="I34" s="6" t="n"/>
      <c r="J34" s="13" t="n"/>
      <c r="K34" s="6" t="n"/>
      <c r="L34" s="6" t="n"/>
      <c r="M34" s="6" t="n"/>
    </row>
    <row r="35">
      <c r="A35" s="5" t="n"/>
      <c r="B35" s="5" t="n"/>
      <c r="C35" s="5" t="n"/>
      <c r="D35" s="5" t="n"/>
      <c r="E35" s="5" t="n"/>
      <c r="F35" s="14" t="n"/>
      <c r="G35" s="5" t="n"/>
      <c r="H35" s="14" t="n"/>
      <c r="I35" s="5" t="n"/>
      <c r="J35" s="14" t="n"/>
      <c r="K35" s="5" t="n"/>
      <c r="L35" s="5" t="n"/>
      <c r="M35" s="5" t="n"/>
    </row>
    <row r="36">
      <c r="A36" s="6" t="n"/>
      <c r="B36" s="6" t="n"/>
      <c r="C36" s="6" t="n"/>
      <c r="D36" s="6" t="n"/>
      <c r="E36" s="6" t="n"/>
      <c r="F36" s="13" t="n"/>
      <c r="G36" s="6" t="n"/>
      <c r="H36" s="13" t="n"/>
      <c r="I36" s="6" t="n"/>
      <c r="J36" s="13" t="n"/>
      <c r="K36" s="6" t="n"/>
      <c r="L36" s="6" t="n"/>
      <c r="M36" s="6" t="n"/>
    </row>
    <row r="37">
      <c r="A37" s="5" t="n"/>
      <c r="B37" s="5" t="n"/>
      <c r="C37" s="5" t="n"/>
      <c r="D37" s="5" t="n"/>
      <c r="E37" s="5" t="n"/>
      <c r="F37" s="14" t="n"/>
      <c r="G37" s="5" t="n"/>
      <c r="H37" s="14" t="n"/>
      <c r="I37" s="5" t="n"/>
      <c r="J37" s="14" t="n"/>
      <c r="K37" s="5" t="n"/>
      <c r="L37" s="5" t="n"/>
      <c r="M37" s="5" t="n"/>
    </row>
    <row r="38">
      <c r="A38" s="6" t="n"/>
      <c r="B38" s="6" t="n"/>
      <c r="C38" s="6" t="n"/>
      <c r="D38" s="6" t="n"/>
      <c r="E38" s="6" t="n"/>
      <c r="F38" s="13" t="n"/>
      <c r="G38" s="6" t="n"/>
      <c r="H38" s="13" t="n"/>
      <c r="I38" s="6" t="n"/>
      <c r="J38" s="13" t="n"/>
      <c r="K38" s="6" t="n"/>
      <c r="L38" s="6" t="n"/>
      <c r="M38" s="6" t="n"/>
    </row>
    <row r="39">
      <c r="A39" s="5" t="n"/>
      <c r="B39" s="5" t="n"/>
      <c r="C39" s="5" t="n"/>
      <c r="D39" s="5" t="n"/>
      <c r="E39" s="5" t="n"/>
      <c r="F39" s="14" t="n"/>
      <c r="G39" s="5" t="n"/>
      <c r="H39" s="14" t="n"/>
      <c r="I39" s="5" t="n"/>
      <c r="J39" s="14" t="n"/>
      <c r="K39" s="5" t="n"/>
      <c r="L39" s="5" t="n"/>
      <c r="M39" s="5" t="n"/>
    </row>
    <row r="40">
      <c r="A40" s="6" t="n"/>
      <c r="B40" s="6" t="n"/>
      <c r="C40" s="6" t="n"/>
      <c r="D40" s="6" t="n"/>
      <c r="E40" s="6" t="n"/>
      <c r="F40" s="13" t="n"/>
      <c r="G40" s="6" t="n"/>
      <c r="H40" s="13" t="n"/>
      <c r="I40" s="6" t="n"/>
      <c r="J40" s="13" t="n"/>
      <c r="K40" s="6" t="n"/>
      <c r="L40" s="6" t="n"/>
      <c r="M40" s="6" t="n"/>
    </row>
    <row r="41">
      <c r="A41" s="5" t="n"/>
      <c r="B41" s="5" t="n"/>
      <c r="C41" s="5" t="n"/>
      <c r="D41" s="5" t="n"/>
      <c r="E41" s="5" t="n"/>
      <c r="F41" s="14" t="n"/>
      <c r="G41" s="5" t="n"/>
      <c r="H41" s="14" t="n"/>
      <c r="I41" s="5" t="n"/>
      <c r="J41" s="14" t="n"/>
      <c r="K41" s="5" t="n"/>
      <c r="L41" s="5" t="n"/>
      <c r="M41" s="5" t="n"/>
    </row>
    <row r="42">
      <c r="A42" s="6" t="n"/>
      <c r="B42" s="6" t="n"/>
      <c r="C42" s="6" t="n"/>
      <c r="D42" s="6" t="n"/>
      <c r="E42" s="6" t="n"/>
      <c r="F42" s="13" t="n"/>
      <c r="G42" s="6" t="n"/>
      <c r="H42" s="13" t="n"/>
      <c r="I42" s="6" t="n"/>
      <c r="J42" s="13" t="n"/>
      <c r="K42" s="6" t="n"/>
      <c r="L42" s="6" t="n"/>
      <c r="M42" s="6" t="n"/>
    </row>
    <row r="43">
      <c r="A43" s="5" t="n"/>
      <c r="B43" s="5" t="n"/>
      <c r="C43" s="5" t="n"/>
      <c r="D43" s="5" t="n"/>
      <c r="E43" s="5" t="n"/>
      <c r="F43" s="14" t="n"/>
      <c r="G43" s="5" t="n"/>
      <c r="H43" s="14" t="n"/>
      <c r="I43" s="5" t="n"/>
      <c r="J43" s="14" t="n"/>
      <c r="K43" s="5" t="n"/>
      <c r="L43" s="5" t="n"/>
      <c r="M43" s="5" t="n"/>
    </row>
    <row r="44">
      <c r="A44" s="6" t="n"/>
      <c r="B44" s="6" t="n"/>
      <c r="C44" s="6" t="n"/>
      <c r="D44" s="6" t="n"/>
      <c r="E44" s="6" t="n"/>
      <c r="F44" s="13" t="n"/>
      <c r="G44" s="6" t="n"/>
      <c r="H44" s="13" t="n"/>
      <c r="I44" s="6" t="n"/>
      <c r="J44" s="13" t="n"/>
      <c r="K44" s="6" t="n"/>
      <c r="L44" s="6" t="n"/>
      <c r="M44" s="6" t="n"/>
    </row>
    <row r="45">
      <c r="A45" s="5" t="n"/>
      <c r="B45" s="5" t="n"/>
      <c r="C45" s="5" t="n"/>
      <c r="D45" s="5" t="n"/>
      <c r="E45" s="5" t="n"/>
      <c r="F45" s="14" t="n"/>
      <c r="G45" s="5" t="n"/>
      <c r="H45" s="14" t="n"/>
      <c r="I45" s="5" t="n"/>
      <c r="J45" s="14" t="n"/>
      <c r="K45" s="5" t="n"/>
      <c r="L45" s="5" t="n"/>
      <c r="M45" s="5" t="n"/>
    </row>
    <row r="46">
      <c r="A46" s="6" t="n"/>
      <c r="B46" s="6" t="n"/>
      <c r="C46" s="6" t="n"/>
      <c r="D46" s="6" t="n"/>
      <c r="E46" s="6" t="n"/>
      <c r="F46" s="13" t="n"/>
      <c r="G46" s="6" t="n"/>
      <c r="H46" s="13" t="n"/>
      <c r="I46" s="6" t="n"/>
      <c r="J46" s="13" t="n"/>
      <c r="K46" s="6" t="n"/>
      <c r="L46" s="6" t="n"/>
      <c r="M46" s="6" t="n"/>
    </row>
    <row r="47">
      <c r="A47" s="5" t="n"/>
      <c r="B47" s="5" t="n"/>
      <c r="C47" s="5" t="n"/>
      <c r="D47" s="5" t="n"/>
      <c r="E47" s="5" t="n"/>
      <c r="F47" s="14" t="n"/>
      <c r="G47" s="5" t="n"/>
      <c r="H47" s="14" t="n"/>
      <c r="I47" s="5" t="n"/>
      <c r="J47" s="14" t="n"/>
      <c r="K47" s="5" t="n"/>
      <c r="L47" s="5" t="n"/>
      <c r="M47" s="5" t="n"/>
    </row>
    <row r="48">
      <c r="A48" s="6" t="n"/>
      <c r="B48" s="6" t="n"/>
      <c r="C48" s="6" t="n"/>
      <c r="D48" s="6" t="n"/>
      <c r="E48" s="6" t="n"/>
      <c r="F48" s="13" t="n"/>
      <c r="G48" s="6" t="n"/>
      <c r="H48" s="13" t="n"/>
      <c r="I48" s="6" t="n"/>
      <c r="J48" s="13" t="n"/>
      <c r="K48" s="6" t="n"/>
      <c r="L48" s="6" t="n"/>
      <c r="M48" s="6" t="n"/>
    </row>
    <row r="49">
      <c r="A49" s="5" t="n"/>
      <c r="B49" s="5" t="n"/>
      <c r="C49" s="5" t="n"/>
      <c r="D49" s="5" t="n"/>
      <c r="E49" s="5" t="n"/>
      <c r="F49" s="14" t="n"/>
      <c r="G49" s="5" t="n"/>
      <c r="H49" s="14" t="n"/>
      <c r="I49" s="5" t="n"/>
      <c r="J49" s="14" t="n"/>
      <c r="K49" s="5" t="n"/>
      <c r="L49" s="5" t="n"/>
      <c r="M49" s="5" t="n"/>
    </row>
    <row r="50">
      <c r="A50" s="6" t="n"/>
      <c r="B50" s="6" t="n"/>
      <c r="C50" s="6" t="n"/>
      <c r="D50" s="6" t="n"/>
      <c r="E50" s="6" t="n"/>
      <c r="F50" s="13" t="n"/>
      <c r="G50" s="6" t="n"/>
      <c r="H50" s="13" t="n"/>
      <c r="I50" s="6" t="n"/>
      <c r="J50" s="13" t="n"/>
      <c r="K50" s="6" t="n"/>
      <c r="L50" s="6" t="n"/>
      <c r="M50" s="6" t="n"/>
    </row>
    <row r="51">
      <c r="A51" s="5" t="n"/>
      <c r="B51" s="5" t="n"/>
      <c r="C51" s="5" t="n"/>
      <c r="D51" s="5" t="n"/>
      <c r="E51" s="5" t="n"/>
      <c r="F51" s="14" t="n"/>
      <c r="G51" s="5" t="n"/>
      <c r="H51" s="14" t="n"/>
      <c r="I51" s="5" t="n"/>
      <c r="J51" s="14" t="n"/>
      <c r="K51" s="5" t="n"/>
      <c r="L51" s="5" t="n"/>
      <c r="M51" s="5" t="n"/>
    </row>
    <row r="52">
      <c r="A52" s="6" t="n"/>
      <c r="B52" s="6" t="n"/>
      <c r="C52" s="6" t="n"/>
      <c r="D52" s="6" t="n"/>
      <c r="E52" s="6" t="n"/>
      <c r="F52" s="13" t="n"/>
      <c r="G52" s="6" t="n"/>
      <c r="H52" s="13" t="n"/>
      <c r="I52" s="6" t="n"/>
      <c r="J52" s="13" t="n"/>
      <c r="K52" s="6" t="n"/>
      <c r="L52" s="6" t="n"/>
      <c r="M52" s="6" t="n"/>
    </row>
    <row r="53">
      <c r="A53" s="5" t="n"/>
      <c r="B53" s="5" t="n"/>
      <c r="C53" s="5" t="n"/>
      <c r="D53" s="5" t="n"/>
      <c r="E53" s="5" t="n"/>
      <c r="F53" s="14" t="n"/>
      <c r="G53" s="5" t="n"/>
      <c r="H53" s="14" t="n"/>
      <c r="I53" s="5" t="n"/>
      <c r="J53" s="14" t="n"/>
      <c r="K53" s="5" t="n"/>
      <c r="L53" s="5" t="n"/>
      <c r="M53" s="5" t="n"/>
    </row>
    <row r="54">
      <c r="A54" s="6" t="n"/>
      <c r="B54" s="6" t="n"/>
      <c r="C54" s="6" t="n"/>
      <c r="D54" s="6" t="n"/>
      <c r="E54" s="6" t="n"/>
      <c r="F54" s="13" t="n"/>
      <c r="G54" s="6" t="n"/>
      <c r="H54" s="13" t="n"/>
      <c r="I54" s="6" t="n"/>
      <c r="J54" s="13" t="n"/>
      <c r="K54" s="6" t="n"/>
      <c r="L54" s="6" t="n"/>
      <c r="M54" s="6" t="n"/>
    </row>
    <row r="55">
      <c r="A55" s="5" t="n"/>
      <c r="B55" s="5" t="n"/>
      <c r="C55" s="5" t="n"/>
      <c r="D55" s="5" t="n"/>
      <c r="E55" s="5" t="n"/>
      <c r="F55" s="14" t="n"/>
      <c r="G55" s="5" t="n"/>
      <c r="H55" s="14" t="n"/>
      <c r="I55" s="5" t="n"/>
      <c r="J55" s="14" t="n"/>
      <c r="K55" s="5" t="n"/>
      <c r="L55" s="5" t="n"/>
      <c r="M55" s="5" t="n"/>
    </row>
    <row r="56">
      <c r="A56" s="6" t="n"/>
      <c r="B56" s="6" t="n"/>
      <c r="C56" s="6" t="n"/>
      <c r="D56" s="6" t="n"/>
      <c r="E56" s="6" t="n"/>
      <c r="F56" s="13" t="n"/>
      <c r="G56" s="6" t="n"/>
      <c r="H56" s="13" t="n"/>
      <c r="I56" s="6" t="n"/>
      <c r="J56" s="13" t="n"/>
      <c r="K56" s="6" t="n"/>
      <c r="L56" s="6" t="n"/>
      <c r="M56" s="6" t="n"/>
    </row>
    <row r="57">
      <c r="A57" s="5" t="n"/>
      <c r="B57" s="5" t="n"/>
      <c r="C57" s="5" t="n"/>
      <c r="D57" s="5" t="n"/>
      <c r="E57" s="5" t="n"/>
      <c r="F57" s="14" t="n"/>
      <c r="G57" s="5" t="n"/>
      <c r="H57" s="14" t="n"/>
      <c r="I57" s="5" t="n"/>
      <c r="J57" s="14" t="n"/>
      <c r="K57" s="5" t="n"/>
      <c r="L57" s="5" t="n"/>
      <c r="M57" s="5" t="n"/>
    </row>
    <row r="58">
      <c r="A58" s="6" t="n"/>
      <c r="B58" s="6" t="n"/>
      <c r="C58" s="6" t="n"/>
      <c r="D58" s="6" t="n"/>
      <c r="E58" s="6" t="n"/>
      <c r="F58" s="13" t="n"/>
      <c r="G58" s="6" t="n"/>
      <c r="H58" s="13" t="n"/>
      <c r="I58" s="6" t="n"/>
      <c r="J58" s="13" t="n"/>
      <c r="K58" s="6" t="n"/>
      <c r="L58" s="6" t="n"/>
      <c r="M58" s="6" t="n"/>
    </row>
    <row r="59">
      <c r="A59" s="5" t="n"/>
      <c r="B59" s="5" t="n"/>
      <c r="C59" s="5" t="n"/>
      <c r="D59" s="5" t="n"/>
      <c r="E59" s="5" t="n"/>
      <c r="F59" s="14" t="n"/>
      <c r="G59" s="5" t="n"/>
      <c r="H59" s="14" t="n"/>
      <c r="I59" s="5" t="n"/>
      <c r="J59" s="14" t="n"/>
      <c r="K59" s="5" t="n"/>
      <c r="L59" s="5" t="n"/>
      <c r="M59" s="5" t="n"/>
    </row>
    <row r="60">
      <c r="A60" s="6" t="n"/>
      <c r="B60" s="6" t="n"/>
      <c r="C60" s="6" t="n"/>
      <c r="D60" s="6" t="n"/>
      <c r="E60" s="6" t="n"/>
      <c r="F60" s="13" t="n"/>
      <c r="G60" s="6" t="n"/>
      <c r="H60" s="13" t="n"/>
      <c r="I60" s="6" t="n"/>
      <c r="J60" s="13" t="n"/>
      <c r="K60" s="6" t="n"/>
      <c r="L60" s="6" t="n"/>
      <c r="M60" s="6" t="n"/>
    </row>
    <row r="61">
      <c r="A61" s="5" t="n"/>
      <c r="B61" s="5" t="n"/>
      <c r="C61" s="5" t="n"/>
      <c r="D61" s="5" t="n"/>
      <c r="E61" s="5" t="n"/>
      <c r="F61" s="14" t="n"/>
      <c r="G61" s="5" t="n"/>
      <c r="H61" s="14" t="n"/>
      <c r="I61" s="5" t="n"/>
      <c r="J61" s="14" t="n"/>
      <c r="K61" s="5" t="n"/>
      <c r="L61" s="5" t="n"/>
      <c r="M61" s="5" t="n"/>
    </row>
  </sheetData>
  <autoFilter ref="A1:M1"/>
  <dataValidations count="2">
    <dataValidation sqref="A2:A61" showDropDown="0" showInputMessage="0" showErrorMessage="0" allowBlank="1" type="list">
      <formula1>=Listas!$F$2:$F$31</formula1>
    </dataValidation>
    <dataValidation sqref="G2:G61" showDropDown="0" showInputMessage="0" showErrorMessage="0" allowBlank="1" type="list">
      <formula1>=Listas!$O$2:$O$8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90A4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5" customWidth="1" min="4" max="4"/>
    <col width="14" customWidth="1" min="5" max="5"/>
    <col width="26" customWidth="1" min="6" max="6"/>
    <col width="18" customWidth="1" min="7" max="7"/>
    <col width="22" customWidth="1" min="8" max="8"/>
    <col width="18" customWidth="1" min="9" max="9"/>
    <col width="18" customWidth="1" min="10" max="10"/>
    <col width="22" customWidth="1" min="11" max="11"/>
    <col width="34" customWidth="1" min="12" max="12"/>
    <col width="16" customWidth="1" min="13" max="13"/>
    <col width="20" customWidth="1" min="14" max="14"/>
    <col width="40" customWidth="1" min="15" max="15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Matrícula</t>
        </is>
      </c>
      <c r="D1" s="4" t="inlineStr">
        <is>
          <t>Data da ocorrência</t>
        </is>
      </c>
      <c r="E1" s="4" t="inlineStr">
        <is>
          <t>Área atingida (ha)</t>
        </is>
      </c>
      <c r="F1" s="4" t="inlineStr">
        <is>
          <t>Cobertura atingida</t>
        </is>
      </c>
      <c r="G1" s="4" t="inlineStr">
        <is>
          <t>Atingiu APP/Reserva Legal</t>
        </is>
      </c>
      <c r="H1" s="4" t="inlineStr">
        <is>
          <t>Origem provável</t>
        </is>
      </c>
      <c r="I1" s="4" t="inlineStr">
        <is>
          <t>Focos INPE (n°/data)</t>
        </is>
      </c>
      <c r="J1" s="4" t="inlineStr">
        <is>
          <t>Boletim de Ocorrência</t>
        </is>
      </c>
      <c r="K1" s="4" t="inlineStr">
        <is>
          <t>Houve autuação (n° do auto)</t>
        </is>
      </c>
      <c r="L1" s="4" t="inlineStr">
        <is>
          <t>Ação de recuperação adotada</t>
        </is>
      </c>
      <c r="M1" s="4" t="inlineStr">
        <is>
          <t>Custo / prejuízo estimado (R$)</t>
        </is>
      </c>
      <c r="N1" s="4" t="inlineStr">
        <is>
          <t>Fonte / data da consulta</t>
        </is>
      </c>
      <c r="O1" s="4" t="inlineStr">
        <is>
          <t>Observações</t>
        </is>
      </c>
    </row>
    <row r="2">
      <c r="A2" s="6" t="n"/>
      <c r="B2" s="6" t="n"/>
      <c r="C2" s="6" t="n"/>
      <c r="D2" s="13" t="n"/>
      <c r="E2" s="6" t="n"/>
      <c r="F2" s="6" t="n"/>
      <c r="G2" s="6" t="n"/>
      <c r="H2" s="6" t="n"/>
      <c r="I2" s="6" t="n"/>
      <c r="J2" s="6" t="n"/>
      <c r="K2" s="6" t="n"/>
      <c r="L2" s="6" t="n"/>
      <c r="M2" s="15" t="n"/>
      <c r="N2" s="6" t="n"/>
      <c r="O2" s="6" t="n"/>
    </row>
    <row r="3">
      <c r="A3" s="5" t="n"/>
      <c r="B3" s="5" t="n"/>
      <c r="C3" s="5" t="n"/>
      <c r="D3" s="14" t="n"/>
      <c r="E3" s="5" t="n"/>
      <c r="F3" s="5" t="n"/>
      <c r="G3" s="5" t="n"/>
      <c r="H3" s="5" t="n"/>
      <c r="I3" s="5" t="n"/>
      <c r="J3" s="5" t="n"/>
      <c r="K3" s="5" t="n"/>
      <c r="L3" s="5" t="n"/>
      <c r="M3" s="16" t="n"/>
      <c r="N3" s="5" t="n"/>
      <c r="O3" s="5" t="n"/>
    </row>
    <row r="4">
      <c r="A4" s="6" t="n"/>
      <c r="B4" s="6" t="n"/>
      <c r="C4" s="6" t="n"/>
      <c r="D4" s="13" t="n"/>
      <c r="E4" s="6" t="n"/>
      <c r="F4" s="6" t="n"/>
      <c r="G4" s="6" t="n"/>
      <c r="H4" s="6" t="n"/>
      <c r="I4" s="6" t="n"/>
      <c r="J4" s="6" t="n"/>
      <c r="K4" s="6" t="n"/>
      <c r="L4" s="6" t="n"/>
      <c r="M4" s="15" t="n"/>
      <c r="N4" s="6" t="n"/>
      <c r="O4" s="6" t="n"/>
    </row>
    <row r="5">
      <c r="A5" s="5" t="n"/>
      <c r="B5" s="5" t="n"/>
      <c r="C5" s="5" t="n"/>
      <c r="D5" s="14" t="n"/>
      <c r="E5" s="5" t="n"/>
      <c r="F5" s="5" t="n"/>
      <c r="G5" s="5" t="n"/>
      <c r="H5" s="5" t="n"/>
      <c r="I5" s="5" t="n"/>
      <c r="J5" s="5" t="n"/>
      <c r="K5" s="5" t="n"/>
      <c r="L5" s="5" t="n"/>
      <c r="M5" s="16" t="n"/>
      <c r="N5" s="5" t="n"/>
      <c r="O5" s="5" t="n"/>
    </row>
    <row r="6">
      <c r="A6" s="6" t="n"/>
      <c r="B6" s="6" t="n"/>
      <c r="C6" s="6" t="n"/>
      <c r="D6" s="13" t="n"/>
      <c r="E6" s="6" t="n"/>
      <c r="F6" s="6" t="n"/>
      <c r="G6" s="6" t="n"/>
      <c r="H6" s="6" t="n"/>
      <c r="I6" s="6" t="n"/>
      <c r="J6" s="6" t="n"/>
      <c r="K6" s="6" t="n"/>
      <c r="L6" s="6" t="n"/>
      <c r="M6" s="15" t="n"/>
      <c r="N6" s="6" t="n"/>
      <c r="O6" s="6" t="n"/>
    </row>
    <row r="7">
      <c r="A7" s="5" t="n"/>
      <c r="B7" s="5" t="n"/>
      <c r="C7" s="5" t="n"/>
      <c r="D7" s="14" t="n"/>
      <c r="E7" s="5" t="n"/>
      <c r="F7" s="5" t="n"/>
      <c r="G7" s="5" t="n"/>
      <c r="H7" s="5" t="n"/>
      <c r="I7" s="5" t="n"/>
      <c r="J7" s="5" t="n"/>
      <c r="K7" s="5" t="n"/>
      <c r="L7" s="5" t="n"/>
      <c r="M7" s="16" t="n"/>
      <c r="N7" s="5" t="n"/>
      <c r="O7" s="5" t="n"/>
    </row>
    <row r="8">
      <c r="A8" s="6" t="n"/>
      <c r="B8" s="6" t="n"/>
      <c r="C8" s="6" t="n"/>
      <c r="D8" s="13" t="n"/>
      <c r="E8" s="6" t="n"/>
      <c r="F8" s="6" t="n"/>
      <c r="G8" s="6" t="n"/>
      <c r="H8" s="6" t="n"/>
      <c r="I8" s="6" t="n"/>
      <c r="J8" s="6" t="n"/>
      <c r="K8" s="6" t="n"/>
      <c r="L8" s="6" t="n"/>
      <c r="M8" s="15" t="n"/>
      <c r="N8" s="6" t="n"/>
      <c r="O8" s="6" t="n"/>
    </row>
    <row r="9">
      <c r="A9" s="5" t="n"/>
      <c r="B9" s="5" t="n"/>
      <c r="C9" s="5" t="n"/>
      <c r="D9" s="14" t="n"/>
      <c r="E9" s="5" t="n"/>
      <c r="F9" s="5" t="n"/>
      <c r="G9" s="5" t="n"/>
      <c r="H9" s="5" t="n"/>
      <c r="I9" s="5" t="n"/>
      <c r="J9" s="5" t="n"/>
      <c r="K9" s="5" t="n"/>
      <c r="L9" s="5" t="n"/>
      <c r="M9" s="16" t="n"/>
      <c r="N9" s="5" t="n"/>
      <c r="O9" s="5" t="n"/>
    </row>
    <row r="10">
      <c r="A10" s="6" t="n"/>
      <c r="B10" s="6" t="n"/>
      <c r="C10" s="6" t="n"/>
      <c r="D10" s="13" t="n"/>
      <c r="E10" s="6" t="n"/>
      <c r="F10" s="6" t="n"/>
      <c r="G10" s="6" t="n"/>
      <c r="H10" s="6" t="n"/>
      <c r="I10" s="6" t="n"/>
      <c r="J10" s="6" t="n"/>
      <c r="K10" s="6" t="n"/>
      <c r="L10" s="6" t="n"/>
      <c r="M10" s="15" t="n"/>
      <c r="N10" s="6" t="n"/>
      <c r="O10" s="6" t="n"/>
    </row>
    <row r="11">
      <c r="A11" s="5" t="n"/>
      <c r="B11" s="5" t="n"/>
      <c r="C11" s="5" t="n"/>
      <c r="D11" s="14" t="n"/>
      <c r="E11" s="5" t="n"/>
      <c r="F11" s="5" t="n"/>
      <c r="G11" s="5" t="n"/>
      <c r="H11" s="5" t="n"/>
      <c r="I11" s="5" t="n"/>
      <c r="J11" s="5" t="n"/>
      <c r="K11" s="5" t="n"/>
      <c r="L11" s="5" t="n"/>
      <c r="M11" s="16" t="n"/>
      <c r="N11" s="5" t="n"/>
      <c r="O11" s="5" t="n"/>
    </row>
    <row r="12">
      <c r="A12" s="6" t="n"/>
      <c r="B12" s="6" t="n"/>
      <c r="C12" s="6" t="n"/>
      <c r="D12" s="13" t="n"/>
      <c r="E12" s="6" t="n"/>
      <c r="F12" s="6" t="n"/>
      <c r="G12" s="6" t="n"/>
      <c r="H12" s="6" t="n"/>
      <c r="I12" s="6" t="n"/>
      <c r="J12" s="6" t="n"/>
      <c r="K12" s="6" t="n"/>
      <c r="L12" s="6" t="n"/>
      <c r="M12" s="15" t="n"/>
      <c r="N12" s="6" t="n"/>
      <c r="O12" s="6" t="n"/>
    </row>
    <row r="13">
      <c r="A13" s="5" t="n"/>
      <c r="B13" s="5" t="n"/>
      <c r="C13" s="5" t="n"/>
      <c r="D13" s="14" t="n"/>
      <c r="E13" s="5" t="n"/>
      <c r="F13" s="5" t="n"/>
      <c r="G13" s="5" t="n"/>
      <c r="H13" s="5" t="n"/>
      <c r="I13" s="5" t="n"/>
      <c r="J13" s="5" t="n"/>
      <c r="K13" s="5" t="n"/>
      <c r="L13" s="5" t="n"/>
      <c r="M13" s="16" t="n"/>
      <c r="N13" s="5" t="n"/>
      <c r="O13" s="5" t="n"/>
    </row>
    <row r="14">
      <c r="A14" s="6" t="n"/>
      <c r="B14" s="6" t="n"/>
      <c r="C14" s="6" t="n"/>
      <c r="D14" s="13" t="n"/>
      <c r="E14" s="6" t="n"/>
      <c r="F14" s="6" t="n"/>
      <c r="G14" s="6" t="n"/>
      <c r="H14" s="6" t="n"/>
      <c r="I14" s="6" t="n"/>
      <c r="J14" s="6" t="n"/>
      <c r="K14" s="6" t="n"/>
      <c r="L14" s="6" t="n"/>
      <c r="M14" s="15" t="n"/>
      <c r="N14" s="6" t="n"/>
      <c r="O14" s="6" t="n"/>
    </row>
    <row r="15">
      <c r="A15" s="5" t="n"/>
      <c r="B15" s="5" t="n"/>
      <c r="C15" s="5" t="n"/>
      <c r="D15" s="14" t="n"/>
      <c r="E15" s="5" t="n"/>
      <c r="F15" s="5" t="n"/>
      <c r="G15" s="5" t="n"/>
      <c r="H15" s="5" t="n"/>
      <c r="I15" s="5" t="n"/>
      <c r="J15" s="5" t="n"/>
      <c r="K15" s="5" t="n"/>
      <c r="L15" s="5" t="n"/>
      <c r="M15" s="16" t="n"/>
      <c r="N15" s="5" t="n"/>
      <c r="O15" s="5" t="n"/>
    </row>
    <row r="16">
      <c r="A16" s="6" t="n"/>
      <c r="B16" s="6" t="n"/>
      <c r="C16" s="6" t="n"/>
      <c r="D16" s="13" t="n"/>
      <c r="E16" s="6" t="n"/>
      <c r="F16" s="6" t="n"/>
      <c r="G16" s="6" t="n"/>
      <c r="H16" s="6" t="n"/>
      <c r="I16" s="6" t="n"/>
      <c r="J16" s="6" t="n"/>
      <c r="K16" s="6" t="n"/>
      <c r="L16" s="6" t="n"/>
      <c r="M16" s="15" t="n"/>
      <c r="N16" s="6" t="n"/>
      <c r="O16" s="6" t="n"/>
    </row>
    <row r="17">
      <c r="A17" s="5" t="n"/>
      <c r="B17" s="5" t="n"/>
      <c r="C17" s="5" t="n"/>
      <c r="D17" s="14" t="n"/>
      <c r="E17" s="5" t="n"/>
      <c r="F17" s="5" t="n"/>
      <c r="G17" s="5" t="n"/>
      <c r="H17" s="5" t="n"/>
      <c r="I17" s="5" t="n"/>
      <c r="J17" s="5" t="n"/>
      <c r="K17" s="5" t="n"/>
      <c r="L17" s="5" t="n"/>
      <c r="M17" s="16" t="n"/>
      <c r="N17" s="5" t="n"/>
      <c r="O17" s="5" t="n"/>
    </row>
    <row r="18">
      <c r="A18" s="6" t="n"/>
      <c r="B18" s="6" t="n"/>
      <c r="C18" s="6" t="n"/>
      <c r="D18" s="13" t="n"/>
      <c r="E18" s="6" t="n"/>
      <c r="F18" s="6" t="n"/>
      <c r="G18" s="6" t="n"/>
      <c r="H18" s="6" t="n"/>
      <c r="I18" s="6" t="n"/>
      <c r="J18" s="6" t="n"/>
      <c r="K18" s="6" t="n"/>
      <c r="L18" s="6" t="n"/>
      <c r="M18" s="15" t="n"/>
      <c r="N18" s="6" t="n"/>
      <c r="O18" s="6" t="n"/>
    </row>
    <row r="19">
      <c r="A19" s="5" t="n"/>
      <c r="B19" s="5" t="n"/>
      <c r="C19" s="5" t="n"/>
      <c r="D19" s="14" t="n"/>
      <c r="E19" s="5" t="n"/>
      <c r="F19" s="5" t="n"/>
      <c r="G19" s="5" t="n"/>
      <c r="H19" s="5" t="n"/>
      <c r="I19" s="5" t="n"/>
      <c r="J19" s="5" t="n"/>
      <c r="K19" s="5" t="n"/>
      <c r="L19" s="5" t="n"/>
      <c r="M19" s="16" t="n"/>
      <c r="N19" s="5" t="n"/>
      <c r="O19" s="5" t="n"/>
    </row>
    <row r="20">
      <c r="A20" s="6" t="n"/>
      <c r="B20" s="6" t="n"/>
      <c r="C20" s="6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15" t="n"/>
      <c r="N20" s="6" t="n"/>
      <c r="O20" s="6" t="n"/>
    </row>
    <row r="21">
      <c r="A21" s="5" t="n"/>
      <c r="B21" s="5" t="n"/>
      <c r="C21" s="5" t="n"/>
      <c r="D21" s="14" t="n"/>
      <c r="E21" s="5" t="n"/>
      <c r="F21" s="5" t="n"/>
      <c r="G21" s="5" t="n"/>
      <c r="H21" s="5" t="n"/>
      <c r="I21" s="5" t="n"/>
      <c r="J21" s="5" t="n"/>
      <c r="K21" s="5" t="n"/>
      <c r="L21" s="5" t="n"/>
      <c r="M21" s="16" t="n"/>
      <c r="N21" s="5" t="n"/>
      <c r="O21" s="5" t="n"/>
    </row>
    <row r="22">
      <c r="A22" s="6" t="n"/>
      <c r="B22" s="6" t="n"/>
      <c r="C22" s="6" t="n"/>
      <c r="D22" s="13" t="n"/>
      <c r="E22" s="6" t="n"/>
      <c r="F22" s="6" t="n"/>
      <c r="G22" s="6" t="n"/>
      <c r="H22" s="6" t="n"/>
      <c r="I22" s="6" t="n"/>
      <c r="J22" s="6" t="n"/>
      <c r="K22" s="6" t="n"/>
      <c r="L22" s="6" t="n"/>
      <c r="M22" s="15" t="n"/>
      <c r="N22" s="6" t="n"/>
      <c r="O22" s="6" t="n"/>
    </row>
    <row r="23">
      <c r="A23" s="5" t="n"/>
      <c r="B23" s="5" t="n"/>
      <c r="C23" s="5" t="n"/>
      <c r="D23" s="14" t="n"/>
      <c r="E23" s="5" t="n"/>
      <c r="F23" s="5" t="n"/>
      <c r="G23" s="5" t="n"/>
      <c r="H23" s="5" t="n"/>
      <c r="I23" s="5" t="n"/>
      <c r="J23" s="5" t="n"/>
      <c r="K23" s="5" t="n"/>
      <c r="L23" s="5" t="n"/>
      <c r="M23" s="16" t="n"/>
      <c r="N23" s="5" t="n"/>
      <c r="O23" s="5" t="n"/>
    </row>
    <row r="24">
      <c r="A24" s="6" t="n"/>
      <c r="B24" s="6" t="n"/>
      <c r="C24" s="6" t="n"/>
      <c r="D24" s="13" t="n"/>
      <c r="E24" s="6" t="n"/>
      <c r="F24" s="6" t="n"/>
      <c r="G24" s="6" t="n"/>
      <c r="H24" s="6" t="n"/>
      <c r="I24" s="6" t="n"/>
      <c r="J24" s="6" t="n"/>
      <c r="K24" s="6" t="n"/>
      <c r="L24" s="6" t="n"/>
      <c r="M24" s="15" t="n"/>
      <c r="N24" s="6" t="n"/>
      <c r="O24" s="6" t="n"/>
    </row>
    <row r="25">
      <c r="A25" s="5" t="n"/>
      <c r="B25" s="5" t="n"/>
      <c r="C25" s="5" t="n"/>
      <c r="D25" s="14" t="n"/>
      <c r="E25" s="5" t="n"/>
      <c r="F25" s="5" t="n"/>
      <c r="G25" s="5" t="n"/>
      <c r="H25" s="5" t="n"/>
      <c r="I25" s="5" t="n"/>
      <c r="J25" s="5" t="n"/>
      <c r="K25" s="5" t="n"/>
      <c r="L25" s="5" t="n"/>
      <c r="M25" s="16" t="n"/>
      <c r="N25" s="5" t="n"/>
      <c r="O25" s="5" t="n"/>
    </row>
    <row r="26">
      <c r="A26" s="6" t="n"/>
      <c r="B26" s="6" t="n"/>
      <c r="C26" s="6" t="n"/>
      <c r="D26" s="13" t="n"/>
      <c r="E26" s="6" t="n"/>
      <c r="F26" s="6" t="n"/>
      <c r="G26" s="6" t="n"/>
      <c r="H26" s="6" t="n"/>
      <c r="I26" s="6" t="n"/>
      <c r="J26" s="6" t="n"/>
      <c r="K26" s="6" t="n"/>
      <c r="L26" s="6" t="n"/>
      <c r="M26" s="15" t="n"/>
      <c r="N26" s="6" t="n"/>
      <c r="O26" s="6" t="n"/>
    </row>
    <row r="27">
      <c r="A27" s="5" t="n"/>
      <c r="B27" s="5" t="n"/>
      <c r="C27" s="5" t="n"/>
      <c r="D27" s="14" t="n"/>
      <c r="E27" s="5" t="n"/>
      <c r="F27" s="5" t="n"/>
      <c r="G27" s="5" t="n"/>
      <c r="H27" s="5" t="n"/>
      <c r="I27" s="5" t="n"/>
      <c r="J27" s="5" t="n"/>
      <c r="K27" s="5" t="n"/>
      <c r="L27" s="5" t="n"/>
      <c r="M27" s="16" t="n"/>
      <c r="N27" s="5" t="n"/>
      <c r="O27" s="5" t="n"/>
    </row>
    <row r="28">
      <c r="A28" s="6" t="n"/>
      <c r="B28" s="6" t="n"/>
      <c r="C28" s="6" t="n"/>
      <c r="D28" s="13" t="n"/>
      <c r="E28" s="6" t="n"/>
      <c r="F28" s="6" t="n"/>
      <c r="G28" s="6" t="n"/>
      <c r="H28" s="6" t="n"/>
      <c r="I28" s="6" t="n"/>
      <c r="J28" s="6" t="n"/>
      <c r="K28" s="6" t="n"/>
      <c r="L28" s="6" t="n"/>
      <c r="M28" s="15" t="n"/>
      <c r="N28" s="6" t="n"/>
      <c r="O28" s="6" t="n"/>
    </row>
    <row r="29">
      <c r="A29" s="5" t="n"/>
      <c r="B29" s="5" t="n"/>
      <c r="C29" s="5" t="n"/>
      <c r="D29" s="14" t="n"/>
      <c r="E29" s="5" t="n"/>
      <c r="F29" s="5" t="n"/>
      <c r="G29" s="5" t="n"/>
      <c r="H29" s="5" t="n"/>
      <c r="I29" s="5" t="n"/>
      <c r="J29" s="5" t="n"/>
      <c r="K29" s="5" t="n"/>
      <c r="L29" s="5" t="n"/>
      <c r="M29" s="16" t="n"/>
      <c r="N29" s="5" t="n"/>
      <c r="O29" s="5" t="n"/>
    </row>
    <row r="30">
      <c r="A30" s="6" t="n"/>
      <c r="B30" s="6" t="n"/>
      <c r="C30" s="6" t="n"/>
      <c r="D30" s="13" t="n"/>
      <c r="E30" s="6" t="n"/>
      <c r="F30" s="6" t="n"/>
      <c r="G30" s="6" t="n"/>
      <c r="H30" s="6" t="n"/>
      <c r="I30" s="6" t="n"/>
      <c r="J30" s="6" t="n"/>
      <c r="K30" s="6" t="n"/>
      <c r="L30" s="6" t="n"/>
      <c r="M30" s="15" t="n"/>
      <c r="N30" s="6" t="n"/>
      <c r="O30" s="6" t="n"/>
    </row>
    <row r="31">
      <c r="A31" s="5" t="n"/>
      <c r="B31" s="5" t="n"/>
      <c r="C31" s="5" t="n"/>
      <c r="D31" s="14" t="n"/>
      <c r="E31" s="5" t="n"/>
      <c r="F31" s="5" t="n"/>
      <c r="G31" s="5" t="n"/>
      <c r="H31" s="5" t="n"/>
      <c r="I31" s="5" t="n"/>
      <c r="J31" s="5" t="n"/>
      <c r="K31" s="5" t="n"/>
      <c r="L31" s="5" t="n"/>
      <c r="M31" s="16" t="n"/>
      <c r="N31" s="5" t="n"/>
      <c r="O31" s="5" t="n"/>
    </row>
    <row r="32">
      <c r="A32" s="6" t="n"/>
      <c r="B32" s="6" t="n"/>
      <c r="C32" s="6" t="n"/>
      <c r="D32" s="13" t="n"/>
      <c r="E32" s="6" t="n"/>
      <c r="F32" s="6" t="n"/>
      <c r="G32" s="6" t="n"/>
      <c r="H32" s="6" t="n"/>
      <c r="I32" s="6" t="n"/>
      <c r="J32" s="6" t="n"/>
      <c r="K32" s="6" t="n"/>
      <c r="L32" s="6" t="n"/>
      <c r="M32" s="15" t="n"/>
      <c r="N32" s="6" t="n"/>
      <c r="O32" s="6" t="n"/>
    </row>
    <row r="33">
      <c r="A33" s="5" t="n"/>
      <c r="B33" s="5" t="n"/>
      <c r="C33" s="5" t="n"/>
      <c r="D33" s="14" t="n"/>
      <c r="E33" s="5" t="n"/>
      <c r="F33" s="5" t="n"/>
      <c r="G33" s="5" t="n"/>
      <c r="H33" s="5" t="n"/>
      <c r="I33" s="5" t="n"/>
      <c r="J33" s="5" t="n"/>
      <c r="K33" s="5" t="n"/>
      <c r="L33" s="5" t="n"/>
      <c r="M33" s="16" t="n"/>
      <c r="N33" s="5" t="n"/>
      <c r="O33" s="5" t="n"/>
    </row>
    <row r="34">
      <c r="A34" s="6" t="n"/>
      <c r="B34" s="6" t="n"/>
      <c r="C34" s="6" t="n"/>
      <c r="D34" s="13" t="n"/>
      <c r="E34" s="6" t="n"/>
      <c r="F34" s="6" t="n"/>
      <c r="G34" s="6" t="n"/>
      <c r="H34" s="6" t="n"/>
      <c r="I34" s="6" t="n"/>
      <c r="J34" s="6" t="n"/>
      <c r="K34" s="6" t="n"/>
      <c r="L34" s="6" t="n"/>
      <c r="M34" s="15" t="n"/>
      <c r="N34" s="6" t="n"/>
      <c r="O34" s="6" t="n"/>
    </row>
    <row r="35">
      <c r="A35" s="5" t="n"/>
      <c r="B35" s="5" t="n"/>
      <c r="C35" s="5" t="n"/>
      <c r="D35" s="14" t="n"/>
      <c r="E35" s="5" t="n"/>
      <c r="F35" s="5" t="n"/>
      <c r="G35" s="5" t="n"/>
      <c r="H35" s="5" t="n"/>
      <c r="I35" s="5" t="n"/>
      <c r="J35" s="5" t="n"/>
      <c r="K35" s="5" t="n"/>
      <c r="L35" s="5" t="n"/>
      <c r="M35" s="16" t="n"/>
      <c r="N35" s="5" t="n"/>
      <c r="O35" s="5" t="n"/>
    </row>
    <row r="36">
      <c r="A36" s="6" t="n"/>
      <c r="B36" s="6" t="n"/>
      <c r="C36" s="6" t="n"/>
      <c r="D36" s="13" t="n"/>
      <c r="E36" s="6" t="n"/>
      <c r="F36" s="6" t="n"/>
      <c r="G36" s="6" t="n"/>
      <c r="H36" s="6" t="n"/>
      <c r="I36" s="6" t="n"/>
      <c r="J36" s="6" t="n"/>
      <c r="K36" s="6" t="n"/>
      <c r="L36" s="6" t="n"/>
      <c r="M36" s="15" t="n"/>
      <c r="N36" s="6" t="n"/>
      <c r="O36" s="6" t="n"/>
    </row>
    <row r="37">
      <c r="A37" s="5" t="n"/>
      <c r="B37" s="5" t="n"/>
      <c r="C37" s="5" t="n"/>
      <c r="D37" s="14" t="n"/>
      <c r="E37" s="5" t="n"/>
      <c r="F37" s="5" t="n"/>
      <c r="G37" s="5" t="n"/>
      <c r="H37" s="5" t="n"/>
      <c r="I37" s="5" t="n"/>
      <c r="J37" s="5" t="n"/>
      <c r="K37" s="5" t="n"/>
      <c r="L37" s="5" t="n"/>
      <c r="M37" s="16" t="n"/>
      <c r="N37" s="5" t="n"/>
      <c r="O37" s="5" t="n"/>
    </row>
    <row r="38">
      <c r="A38" s="6" t="n"/>
      <c r="B38" s="6" t="n"/>
      <c r="C38" s="6" t="n"/>
      <c r="D38" s="13" t="n"/>
      <c r="E38" s="6" t="n"/>
      <c r="F38" s="6" t="n"/>
      <c r="G38" s="6" t="n"/>
      <c r="H38" s="6" t="n"/>
      <c r="I38" s="6" t="n"/>
      <c r="J38" s="6" t="n"/>
      <c r="K38" s="6" t="n"/>
      <c r="L38" s="6" t="n"/>
      <c r="M38" s="15" t="n"/>
      <c r="N38" s="6" t="n"/>
      <c r="O38" s="6" t="n"/>
    </row>
    <row r="39">
      <c r="A39" s="5" t="n"/>
      <c r="B39" s="5" t="n"/>
      <c r="C39" s="5" t="n"/>
      <c r="D39" s="14" t="n"/>
      <c r="E39" s="5" t="n"/>
      <c r="F39" s="5" t="n"/>
      <c r="G39" s="5" t="n"/>
      <c r="H39" s="5" t="n"/>
      <c r="I39" s="5" t="n"/>
      <c r="J39" s="5" t="n"/>
      <c r="K39" s="5" t="n"/>
      <c r="L39" s="5" t="n"/>
      <c r="M39" s="16" t="n"/>
      <c r="N39" s="5" t="n"/>
      <c r="O39" s="5" t="n"/>
    </row>
    <row r="40">
      <c r="A40" s="6" t="n"/>
      <c r="B40" s="6" t="n"/>
      <c r="C40" s="6" t="n"/>
      <c r="D40" s="13" t="n"/>
      <c r="E40" s="6" t="n"/>
      <c r="F40" s="6" t="n"/>
      <c r="G40" s="6" t="n"/>
      <c r="H40" s="6" t="n"/>
      <c r="I40" s="6" t="n"/>
      <c r="J40" s="6" t="n"/>
      <c r="K40" s="6" t="n"/>
      <c r="L40" s="6" t="n"/>
      <c r="M40" s="15" t="n"/>
      <c r="N40" s="6" t="n"/>
      <c r="O40" s="6" t="n"/>
    </row>
    <row r="41">
      <c r="A41" s="5" t="n"/>
      <c r="B41" s="5" t="n"/>
      <c r="C41" s="5" t="n"/>
      <c r="D41" s="14" t="n"/>
      <c r="E41" s="5" t="n"/>
      <c r="F41" s="5" t="n"/>
      <c r="G41" s="5" t="n"/>
      <c r="H41" s="5" t="n"/>
      <c r="I41" s="5" t="n"/>
      <c r="J41" s="5" t="n"/>
      <c r="K41" s="5" t="n"/>
      <c r="L41" s="5" t="n"/>
      <c r="M41" s="16" t="n"/>
      <c r="N41" s="5" t="n"/>
      <c r="O41" s="5" t="n"/>
    </row>
    <row r="42">
      <c r="A42" s="6" t="n"/>
      <c r="B42" s="6" t="n"/>
      <c r="C42" s="6" t="n"/>
      <c r="D42" s="13" t="n"/>
      <c r="E42" s="6" t="n"/>
      <c r="F42" s="6" t="n"/>
      <c r="G42" s="6" t="n"/>
      <c r="H42" s="6" t="n"/>
      <c r="I42" s="6" t="n"/>
      <c r="J42" s="6" t="n"/>
      <c r="K42" s="6" t="n"/>
      <c r="L42" s="6" t="n"/>
      <c r="M42" s="15" t="n"/>
      <c r="N42" s="6" t="n"/>
      <c r="O42" s="6" t="n"/>
    </row>
    <row r="43">
      <c r="A43" s="5" t="n"/>
      <c r="B43" s="5" t="n"/>
      <c r="C43" s="5" t="n"/>
      <c r="D43" s="14" t="n"/>
      <c r="E43" s="5" t="n"/>
      <c r="F43" s="5" t="n"/>
      <c r="G43" s="5" t="n"/>
      <c r="H43" s="5" t="n"/>
      <c r="I43" s="5" t="n"/>
      <c r="J43" s="5" t="n"/>
      <c r="K43" s="5" t="n"/>
      <c r="L43" s="5" t="n"/>
      <c r="M43" s="16" t="n"/>
      <c r="N43" s="5" t="n"/>
      <c r="O43" s="5" t="n"/>
    </row>
    <row r="44">
      <c r="A44" s="6" t="n"/>
      <c r="B44" s="6" t="n"/>
      <c r="C44" s="6" t="n"/>
      <c r="D44" s="13" t="n"/>
      <c r="E44" s="6" t="n"/>
      <c r="F44" s="6" t="n"/>
      <c r="G44" s="6" t="n"/>
      <c r="H44" s="6" t="n"/>
      <c r="I44" s="6" t="n"/>
      <c r="J44" s="6" t="n"/>
      <c r="K44" s="6" t="n"/>
      <c r="L44" s="6" t="n"/>
      <c r="M44" s="15" t="n"/>
      <c r="N44" s="6" t="n"/>
      <c r="O44" s="6" t="n"/>
    </row>
    <row r="45">
      <c r="A45" s="5" t="n"/>
      <c r="B45" s="5" t="n"/>
      <c r="C45" s="5" t="n"/>
      <c r="D45" s="14" t="n"/>
      <c r="E45" s="5" t="n"/>
      <c r="F45" s="5" t="n"/>
      <c r="G45" s="5" t="n"/>
      <c r="H45" s="5" t="n"/>
      <c r="I45" s="5" t="n"/>
      <c r="J45" s="5" t="n"/>
      <c r="K45" s="5" t="n"/>
      <c r="L45" s="5" t="n"/>
      <c r="M45" s="16" t="n"/>
      <c r="N45" s="5" t="n"/>
      <c r="O45" s="5" t="n"/>
    </row>
    <row r="46">
      <c r="A46" s="6" t="n"/>
      <c r="B46" s="6" t="n"/>
      <c r="C46" s="6" t="n"/>
      <c r="D46" s="13" t="n"/>
      <c r="E46" s="6" t="n"/>
      <c r="F46" s="6" t="n"/>
      <c r="G46" s="6" t="n"/>
      <c r="H46" s="6" t="n"/>
      <c r="I46" s="6" t="n"/>
      <c r="J46" s="6" t="n"/>
      <c r="K46" s="6" t="n"/>
      <c r="L46" s="6" t="n"/>
      <c r="M46" s="15" t="n"/>
      <c r="N46" s="6" t="n"/>
      <c r="O46" s="6" t="n"/>
    </row>
    <row r="47">
      <c r="A47" s="5" t="n"/>
      <c r="B47" s="5" t="n"/>
      <c r="C47" s="5" t="n"/>
      <c r="D47" s="14" t="n"/>
      <c r="E47" s="5" t="n"/>
      <c r="F47" s="5" t="n"/>
      <c r="G47" s="5" t="n"/>
      <c r="H47" s="5" t="n"/>
      <c r="I47" s="5" t="n"/>
      <c r="J47" s="5" t="n"/>
      <c r="K47" s="5" t="n"/>
      <c r="L47" s="5" t="n"/>
      <c r="M47" s="16" t="n"/>
      <c r="N47" s="5" t="n"/>
      <c r="O47" s="5" t="n"/>
    </row>
    <row r="48">
      <c r="A48" s="6" t="n"/>
      <c r="B48" s="6" t="n"/>
      <c r="C48" s="6" t="n"/>
      <c r="D48" s="13" t="n"/>
      <c r="E48" s="6" t="n"/>
      <c r="F48" s="6" t="n"/>
      <c r="G48" s="6" t="n"/>
      <c r="H48" s="6" t="n"/>
      <c r="I48" s="6" t="n"/>
      <c r="J48" s="6" t="n"/>
      <c r="K48" s="6" t="n"/>
      <c r="L48" s="6" t="n"/>
      <c r="M48" s="15" t="n"/>
      <c r="N48" s="6" t="n"/>
      <c r="O48" s="6" t="n"/>
    </row>
    <row r="49">
      <c r="A49" s="5" t="n"/>
      <c r="B49" s="5" t="n"/>
      <c r="C49" s="5" t="n"/>
      <c r="D49" s="14" t="n"/>
      <c r="E49" s="5" t="n"/>
      <c r="F49" s="5" t="n"/>
      <c r="G49" s="5" t="n"/>
      <c r="H49" s="5" t="n"/>
      <c r="I49" s="5" t="n"/>
      <c r="J49" s="5" t="n"/>
      <c r="K49" s="5" t="n"/>
      <c r="L49" s="5" t="n"/>
      <c r="M49" s="16" t="n"/>
      <c r="N49" s="5" t="n"/>
      <c r="O49" s="5" t="n"/>
    </row>
    <row r="50">
      <c r="A50" s="6" t="n"/>
      <c r="B50" s="6" t="n"/>
      <c r="C50" s="6" t="n"/>
      <c r="D50" s="13" t="n"/>
      <c r="E50" s="6" t="n"/>
      <c r="F50" s="6" t="n"/>
      <c r="G50" s="6" t="n"/>
      <c r="H50" s="6" t="n"/>
      <c r="I50" s="6" t="n"/>
      <c r="J50" s="6" t="n"/>
      <c r="K50" s="6" t="n"/>
      <c r="L50" s="6" t="n"/>
      <c r="M50" s="15" t="n"/>
      <c r="N50" s="6" t="n"/>
      <c r="O50" s="6" t="n"/>
    </row>
    <row r="51">
      <c r="A51" s="5" t="n"/>
      <c r="B51" s="5" t="n"/>
      <c r="C51" s="5" t="n"/>
      <c r="D51" s="14" t="n"/>
      <c r="E51" s="5" t="n"/>
      <c r="F51" s="5" t="n"/>
      <c r="G51" s="5" t="n"/>
      <c r="H51" s="5" t="n"/>
      <c r="I51" s="5" t="n"/>
      <c r="J51" s="5" t="n"/>
      <c r="K51" s="5" t="n"/>
      <c r="L51" s="5" t="n"/>
      <c r="M51" s="16" t="n"/>
      <c r="N51" s="5" t="n"/>
      <c r="O51" s="5" t="n"/>
    </row>
    <row r="52">
      <c r="A52" s="6" t="n"/>
      <c r="B52" s="6" t="n"/>
      <c r="C52" s="6" t="n"/>
      <c r="D52" s="13" t="n"/>
      <c r="E52" s="6" t="n"/>
      <c r="F52" s="6" t="n"/>
      <c r="G52" s="6" t="n"/>
      <c r="H52" s="6" t="n"/>
      <c r="I52" s="6" t="n"/>
      <c r="J52" s="6" t="n"/>
      <c r="K52" s="6" t="n"/>
      <c r="L52" s="6" t="n"/>
      <c r="M52" s="15" t="n"/>
      <c r="N52" s="6" t="n"/>
      <c r="O52" s="6" t="n"/>
    </row>
    <row r="53">
      <c r="A53" s="5" t="n"/>
      <c r="B53" s="5" t="n"/>
      <c r="C53" s="5" t="n"/>
      <c r="D53" s="14" t="n"/>
      <c r="E53" s="5" t="n"/>
      <c r="F53" s="5" t="n"/>
      <c r="G53" s="5" t="n"/>
      <c r="H53" s="5" t="n"/>
      <c r="I53" s="5" t="n"/>
      <c r="J53" s="5" t="n"/>
      <c r="K53" s="5" t="n"/>
      <c r="L53" s="5" t="n"/>
      <c r="M53" s="16" t="n"/>
      <c r="N53" s="5" t="n"/>
      <c r="O53" s="5" t="n"/>
    </row>
    <row r="54">
      <c r="A54" s="6" t="n"/>
      <c r="B54" s="6" t="n"/>
      <c r="C54" s="6" t="n"/>
      <c r="D54" s="13" t="n"/>
      <c r="E54" s="6" t="n"/>
      <c r="F54" s="6" t="n"/>
      <c r="G54" s="6" t="n"/>
      <c r="H54" s="6" t="n"/>
      <c r="I54" s="6" t="n"/>
      <c r="J54" s="6" t="n"/>
      <c r="K54" s="6" t="n"/>
      <c r="L54" s="6" t="n"/>
      <c r="M54" s="15" t="n"/>
      <c r="N54" s="6" t="n"/>
      <c r="O54" s="6" t="n"/>
    </row>
    <row r="55">
      <c r="A55" s="5" t="n"/>
      <c r="B55" s="5" t="n"/>
      <c r="C55" s="5" t="n"/>
      <c r="D55" s="14" t="n"/>
      <c r="E55" s="5" t="n"/>
      <c r="F55" s="5" t="n"/>
      <c r="G55" s="5" t="n"/>
      <c r="H55" s="5" t="n"/>
      <c r="I55" s="5" t="n"/>
      <c r="J55" s="5" t="n"/>
      <c r="K55" s="5" t="n"/>
      <c r="L55" s="5" t="n"/>
      <c r="M55" s="16" t="n"/>
      <c r="N55" s="5" t="n"/>
      <c r="O55" s="5" t="n"/>
    </row>
    <row r="56">
      <c r="A56" s="6" t="n"/>
      <c r="B56" s="6" t="n"/>
      <c r="C56" s="6" t="n"/>
      <c r="D56" s="13" t="n"/>
      <c r="E56" s="6" t="n"/>
      <c r="F56" s="6" t="n"/>
      <c r="G56" s="6" t="n"/>
      <c r="H56" s="6" t="n"/>
      <c r="I56" s="6" t="n"/>
      <c r="J56" s="6" t="n"/>
      <c r="K56" s="6" t="n"/>
      <c r="L56" s="6" t="n"/>
      <c r="M56" s="15" t="n"/>
      <c r="N56" s="6" t="n"/>
      <c r="O56" s="6" t="n"/>
    </row>
    <row r="57">
      <c r="A57" s="5" t="n"/>
      <c r="B57" s="5" t="n"/>
      <c r="C57" s="5" t="n"/>
      <c r="D57" s="14" t="n"/>
      <c r="E57" s="5" t="n"/>
      <c r="F57" s="5" t="n"/>
      <c r="G57" s="5" t="n"/>
      <c r="H57" s="5" t="n"/>
      <c r="I57" s="5" t="n"/>
      <c r="J57" s="5" t="n"/>
      <c r="K57" s="5" t="n"/>
      <c r="L57" s="5" t="n"/>
      <c r="M57" s="16" t="n"/>
      <c r="N57" s="5" t="n"/>
      <c r="O57" s="5" t="n"/>
    </row>
    <row r="58">
      <c r="A58" s="6" t="n"/>
      <c r="B58" s="6" t="n"/>
      <c r="C58" s="6" t="n"/>
      <c r="D58" s="13" t="n"/>
      <c r="E58" s="6" t="n"/>
      <c r="F58" s="6" t="n"/>
      <c r="G58" s="6" t="n"/>
      <c r="H58" s="6" t="n"/>
      <c r="I58" s="6" t="n"/>
      <c r="J58" s="6" t="n"/>
      <c r="K58" s="6" t="n"/>
      <c r="L58" s="6" t="n"/>
      <c r="M58" s="15" t="n"/>
      <c r="N58" s="6" t="n"/>
      <c r="O58" s="6" t="n"/>
    </row>
    <row r="59">
      <c r="A59" s="5" t="n"/>
      <c r="B59" s="5" t="n"/>
      <c r="C59" s="5" t="n"/>
      <c r="D59" s="14" t="n"/>
      <c r="E59" s="5" t="n"/>
      <c r="F59" s="5" t="n"/>
      <c r="G59" s="5" t="n"/>
      <c r="H59" s="5" t="n"/>
      <c r="I59" s="5" t="n"/>
      <c r="J59" s="5" t="n"/>
      <c r="K59" s="5" t="n"/>
      <c r="L59" s="5" t="n"/>
      <c r="M59" s="16" t="n"/>
      <c r="N59" s="5" t="n"/>
      <c r="O59" s="5" t="n"/>
    </row>
    <row r="60">
      <c r="A60" s="6" t="n"/>
      <c r="B60" s="6" t="n"/>
      <c r="C60" s="6" t="n"/>
      <c r="D60" s="13" t="n"/>
      <c r="E60" s="6" t="n"/>
      <c r="F60" s="6" t="n"/>
      <c r="G60" s="6" t="n"/>
      <c r="H60" s="6" t="n"/>
      <c r="I60" s="6" t="n"/>
      <c r="J60" s="6" t="n"/>
      <c r="K60" s="6" t="n"/>
      <c r="L60" s="6" t="n"/>
      <c r="M60" s="15" t="n"/>
      <c r="N60" s="6" t="n"/>
      <c r="O60" s="6" t="n"/>
    </row>
    <row r="61">
      <c r="A61" s="5" t="n"/>
      <c r="B61" s="5" t="n"/>
      <c r="C61" s="5" t="n"/>
      <c r="D61" s="14" t="n"/>
      <c r="E61" s="5" t="n"/>
      <c r="F61" s="5" t="n"/>
      <c r="G61" s="5" t="n"/>
      <c r="H61" s="5" t="n"/>
      <c r="I61" s="5" t="n"/>
      <c r="J61" s="5" t="n"/>
      <c r="K61" s="5" t="n"/>
      <c r="L61" s="5" t="n"/>
      <c r="M61" s="16" t="n"/>
      <c r="N61" s="5" t="n"/>
      <c r="O61" s="5" t="n"/>
    </row>
  </sheetData>
  <autoFilter ref="A1:O1"/>
  <dataValidations count="5">
    <dataValidation sqref="A2:A61" showDropDown="0" showInputMessage="0" showErrorMessage="0" allowBlank="1" type="list">
      <formula1>=Listas!$F$2:$F$31</formula1>
    </dataValidation>
    <dataValidation sqref="F2:F61" showDropDown="0" showInputMessage="0" showErrorMessage="0" allowBlank="1" type="list">
      <formula1>=Listas!$P$2:$P$9</formula1>
    </dataValidation>
    <dataValidation sqref="G2:G61" showDropDown="0" showInputMessage="0" showErrorMessage="0" allowBlank="1" type="list">
      <formula1>=Listas!$Q$2:$Q$6</formula1>
    </dataValidation>
    <dataValidation sqref="H2:H61" showDropDown="0" showInputMessage="0" showErrorMessage="0" allowBlank="1" type="list">
      <formula1>=Listas!$R$2:$R$8</formula1>
    </dataValidation>
    <dataValidation sqref="J2:J61" showDropDown="0" showInputMessage="0" showErrorMessage="0" allowBlank="1" type="list">
      <formula1>=Listas!$S$2:$S$4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90A4"/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30" customWidth="1" min="4" max="4"/>
    <col width="22" customWidth="1" min="5" max="5"/>
    <col width="18" customWidth="1" min="6" max="6"/>
    <col width="20" customWidth="1" min="7" max="7"/>
    <col width="40" customWidth="1" min="8" max="8"/>
    <col width="14" customWidth="1" min="9" max="9"/>
    <col width="14" customWidth="1" min="10" max="10"/>
    <col width="18" customWidth="1" min="11" max="11"/>
    <col width="18" customWidth="1" min="12" max="12"/>
    <col width="40" customWidth="1" min="13" max="13"/>
    <col width="22" customWidth="1" min="14" max="14"/>
    <col width="20" customWidth="1" min="15" max="15"/>
    <col width="40" customWidth="1" min="16" max="16"/>
  </cols>
  <sheetData>
    <row r="1" ht="42" customHeight="1">
      <c r="A1" s="4" t="inlineStr">
        <is>
          <t>Imóvel</t>
        </is>
      </c>
      <c r="B1" s="4" t="inlineStr">
        <is>
          <t>Município</t>
        </is>
      </c>
      <c r="C1" s="4" t="inlineStr">
        <is>
          <t>Matrícula</t>
        </is>
      </c>
      <c r="D1" s="4" t="inlineStr">
        <is>
          <t>Tipo de documento</t>
        </is>
      </c>
      <c r="E1" s="4" t="inlineStr">
        <is>
          <t>N° da licença / documento</t>
        </is>
      </c>
      <c r="F1" s="4" t="inlineStr">
        <is>
          <t>N° do processo</t>
        </is>
      </c>
      <c r="G1" s="4" t="inlineStr">
        <is>
          <t>Órgão emissor</t>
        </is>
      </c>
      <c r="H1" s="4" t="inlineStr">
        <is>
          <t>Objeto / atividade licenciada</t>
        </is>
      </c>
      <c r="I1" s="4" t="inlineStr">
        <is>
          <t>Data de emissão</t>
        </is>
      </c>
      <c r="J1" s="4" t="inlineStr">
        <is>
          <t>Validade</t>
        </is>
      </c>
      <c r="K1" s="4" t="inlineStr">
        <is>
          <t>Situação</t>
        </is>
      </c>
      <c r="L1" s="4" t="inlineStr">
        <is>
          <t>Prazo p/ renovação (120 dias antes)</t>
        </is>
      </c>
      <c r="M1" s="4" t="inlineStr">
        <is>
          <t>Condicionantes pendentes</t>
        </is>
      </c>
      <c r="N1" s="4" t="inlineStr">
        <is>
          <t>Responsável técnico / ART</t>
        </is>
      </c>
      <c r="O1" s="4" t="inlineStr">
        <is>
          <t>Fonte / data da consulta</t>
        </is>
      </c>
      <c r="P1" s="4" t="inlineStr">
        <is>
          <t>Observações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13" t="n"/>
      <c r="J2" s="13" t="n"/>
      <c r="K2" s="6" t="n"/>
      <c r="L2" s="13">
        <f>IF(J2="","",J2-120)</f>
        <v/>
      </c>
      <c r="M2" s="6" t="n"/>
      <c r="N2" s="6" t="n"/>
      <c r="O2" s="6" t="n"/>
      <c r="P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14" t="n"/>
      <c r="J3" s="14" t="n"/>
      <c r="K3" s="5" t="n"/>
      <c r="L3" s="14">
        <f>IF(J3="","",J3-120)</f>
        <v/>
      </c>
      <c r="M3" s="5" t="n"/>
      <c r="N3" s="5" t="n"/>
      <c r="O3" s="5" t="n"/>
      <c r="P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13" t="n"/>
      <c r="J4" s="13" t="n"/>
      <c r="K4" s="6" t="n"/>
      <c r="L4" s="13">
        <f>IF(J4="","",J4-120)</f>
        <v/>
      </c>
      <c r="M4" s="6" t="n"/>
      <c r="N4" s="6" t="n"/>
      <c r="O4" s="6" t="n"/>
      <c r="P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14" t="n"/>
      <c r="J5" s="14" t="n"/>
      <c r="K5" s="5" t="n"/>
      <c r="L5" s="14">
        <f>IF(J5="","",J5-120)</f>
        <v/>
      </c>
      <c r="M5" s="5" t="n"/>
      <c r="N5" s="5" t="n"/>
      <c r="O5" s="5" t="n"/>
      <c r="P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13" t="n"/>
      <c r="J6" s="13" t="n"/>
      <c r="K6" s="6" t="n"/>
      <c r="L6" s="13">
        <f>IF(J6="","",J6-120)</f>
        <v/>
      </c>
      <c r="M6" s="6" t="n"/>
      <c r="N6" s="6" t="n"/>
      <c r="O6" s="6" t="n"/>
      <c r="P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14" t="n"/>
      <c r="J7" s="14" t="n"/>
      <c r="K7" s="5" t="n"/>
      <c r="L7" s="14">
        <f>IF(J7="","",J7-120)</f>
        <v/>
      </c>
      <c r="M7" s="5" t="n"/>
      <c r="N7" s="5" t="n"/>
      <c r="O7" s="5" t="n"/>
      <c r="P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13" t="n"/>
      <c r="J8" s="13" t="n"/>
      <c r="K8" s="6" t="n"/>
      <c r="L8" s="13">
        <f>IF(J8="","",J8-120)</f>
        <v/>
      </c>
      <c r="M8" s="6" t="n"/>
      <c r="N8" s="6" t="n"/>
      <c r="O8" s="6" t="n"/>
      <c r="P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14" t="n"/>
      <c r="J9" s="14" t="n"/>
      <c r="K9" s="5" t="n"/>
      <c r="L9" s="14">
        <f>IF(J9="","",J9-120)</f>
        <v/>
      </c>
      <c r="M9" s="5" t="n"/>
      <c r="N9" s="5" t="n"/>
      <c r="O9" s="5" t="n"/>
      <c r="P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13" t="n"/>
      <c r="J10" s="13" t="n"/>
      <c r="K10" s="6" t="n"/>
      <c r="L10" s="13">
        <f>IF(J10="","",J10-120)</f>
        <v/>
      </c>
      <c r="M10" s="6" t="n"/>
      <c r="N10" s="6" t="n"/>
      <c r="O10" s="6" t="n"/>
      <c r="P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14" t="n"/>
      <c r="J11" s="14" t="n"/>
      <c r="K11" s="5" t="n"/>
      <c r="L11" s="14">
        <f>IF(J11="","",J11-120)</f>
        <v/>
      </c>
      <c r="M11" s="5" t="n"/>
      <c r="N11" s="5" t="n"/>
      <c r="O11" s="5" t="n"/>
      <c r="P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13" t="n"/>
      <c r="J12" s="13" t="n"/>
      <c r="K12" s="6" t="n"/>
      <c r="L12" s="13">
        <f>IF(J12="","",J12-120)</f>
        <v/>
      </c>
      <c r="M12" s="6" t="n"/>
      <c r="N12" s="6" t="n"/>
      <c r="O12" s="6" t="n"/>
      <c r="P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14" t="n"/>
      <c r="J13" s="14" t="n"/>
      <c r="K13" s="5" t="n"/>
      <c r="L13" s="14">
        <f>IF(J13="","",J13-120)</f>
        <v/>
      </c>
      <c r="M13" s="5" t="n"/>
      <c r="N13" s="5" t="n"/>
      <c r="O13" s="5" t="n"/>
      <c r="P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13" t="n"/>
      <c r="J14" s="13" t="n"/>
      <c r="K14" s="6" t="n"/>
      <c r="L14" s="13">
        <f>IF(J14="","",J14-120)</f>
        <v/>
      </c>
      <c r="M14" s="6" t="n"/>
      <c r="N14" s="6" t="n"/>
      <c r="O14" s="6" t="n"/>
      <c r="P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14" t="n"/>
      <c r="J15" s="14" t="n"/>
      <c r="K15" s="5" t="n"/>
      <c r="L15" s="14">
        <f>IF(J15="","",J15-120)</f>
        <v/>
      </c>
      <c r="M15" s="5" t="n"/>
      <c r="N15" s="5" t="n"/>
      <c r="O15" s="5" t="n"/>
      <c r="P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13" t="n"/>
      <c r="J16" s="13" t="n"/>
      <c r="K16" s="6" t="n"/>
      <c r="L16" s="13">
        <f>IF(J16="","",J16-120)</f>
        <v/>
      </c>
      <c r="M16" s="6" t="n"/>
      <c r="N16" s="6" t="n"/>
      <c r="O16" s="6" t="n"/>
      <c r="P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14" t="n"/>
      <c r="J17" s="14" t="n"/>
      <c r="K17" s="5" t="n"/>
      <c r="L17" s="14">
        <f>IF(J17="","",J17-120)</f>
        <v/>
      </c>
      <c r="M17" s="5" t="n"/>
      <c r="N17" s="5" t="n"/>
      <c r="O17" s="5" t="n"/>
      <c r="P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13" t="n"/>
      <c r="J18" s="13" t="n"/>
      <c r="K18" s="6" t="n"/>
      <c r="L18" s="13">
        <f>IF(J18="","",J18-120)</f>
        <v/>
      </c>
      <c r="M18" s="6" t="n"/>
      <c r="N18" s="6" t="n"/>
      <c r="O18" s="6" t="n"/>
      <c r="P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14" t="n"/>
      <c r="J19" s="14" t="n"/>
      <c r="K19" s="5" t="n"/>
      <c r="L19" s="14">
        <f>IF(J19="","",J19-120)</f>
        <v/>
      </c>
      <c r="M19" s="5" t="n"/>
      <c r="N19" s="5" t="n"/>
      <c r="O19" s="5" t="n"/>
      <c r="P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13" t="n"/>
      <c r="J20" s="13" t="n"/>
      <c r="K20" s="6" t="n"/>
      <c r="L20" s="13">
        <f>IF(J20="","",J20-120)</f>
        <v/>
      </c>
      <c r="M20" s="6" t="n"/>
      <c r="N20" s="6" t="n"/>
      <c r="O20" s="6" t="n"/>
      <c r="P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14" t="n"/>
      <c r="J21" s="14" t="n"/>
      <c r="K21" s="5" t="n"/>
      <c r="L21" s="14">
        <f>IF(J21="","",J21-120)</f>
        <v/>
      </c>
      <c r="M21" s="5" t="n"/>
      <c r="N21" s="5" t="n"/>
      <c r="O21" s="5" t="n"/>
      <c r="P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13" t="n"/>
      <c r="J22" s="13" t="n"/>
      <c r="K22" s="6" t="n"/>
      <c r="L22" s="13">
        <f>IF(J22="","",J22-120)</f>
        <v/>
      </c>
      <c r="M22" s="6" t="n"/>
      <c r="N22" s="6" t="n"/>
      <c r="O22" s="6" t="n"/>
      <c r="P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14" t="n"/>
      <c r="J23" s="14" t="n"/>
      <c r="K23" s="5" t="n"/>
      <c r="L23" s="14">
        <f>IF(J23="","",J23-120)</f>
        <v/>
      </c>
      <c r="M23" s="5" t="n"/>
      <c r="N23" s="5" t="n"/>
      <c r="O23" s="5" t="n"/>
      <c r="P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13" t="n"/>
      <c r="J24" s="13" t="n"/>
      <c r="K24" s="6" t="n"/>
      <c r="L24" s="13">
        <f>IF(J24="","",J24-120)</f>
        <v/>
      </c>
      <c r="M24" s="6" t="n"/>
      <c r="N24" s="6" t="n"/>
      <c r="O24" s="6" t="n"/>
      <c r="P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14" t="n"/>
      <c r="J25" s="14" t="n"/>
      <c r="K25" s="5" t="n"/>
      <c r="L25" s="14">
        <f>IF(J25="","",J25-120)</f>
        <v/>
      </c>
      <c r="M25" s="5" t="n"/>
      <c r="N25" s="5" t="n"/>
      <c r="O25" s="5" t="n"/>
      <c r="P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13" t="n"/>
      <c r="J26" s="13" t="n"/>
      <c r="K26" s="6" t="n"/>
      <c r="L26" s="13">
        <f>IF(J26="","",J26-120)</f>
        <v/>
      </c>
      <c r="M26" s="6" t="n"/>
      <c r="N26" s="6" t="n"/>
      <c r="O26" s="6" t="n"/>
      <c r="P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14" t="n"/>
      <c r="J27" s="14" t="n"/>
      <c r="K27" s="5" t="n"/>
      <c r="L27" s="14">
        <f>IF(J27="","",J27-120)</f>
        <v/>
      </c>
      <c r="M27" s="5" t="n"/>
      <c r="N27" s="5" t="n"/>
      <c r="O27" s="5" t="n"/>
      <c r="P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13" t="n"/>
      <c r="J28" s="13" t="n"/>
      <c r="K28" s="6" t="n"/>
      <c r="L28" s="13">
        <f>IF(J28="","",J28-120)</f>
        <v/>
      </c>
      <c r="M28" s="6" t="n"/>
      <c r="N28" s="6" t="n"/>
      <c r="O28" s="6" t="n"/>
      <c r="P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14" t="n"/>
      <c r="J29" s="14" t="n"/>
      <c r="K29" s="5" t="n"/>
      <c r="L29" s="14">
        <f>IF(J29="","",J29-120)</f>
        <v/>
      </c>
      <c r="M29" s="5" t="n"/>
      <c r="N29" s="5" t="n"/>
      <c r="O29" s="5" t="n"/>
      <c r="P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13" t="n"/>
      <c r="J30" s="13" t="n"/>
      <c r="K30" s="6" t="n"/>
      <c r="L30" s="13">
        <f>IF(J30="","",J30-120)</f>
        <v/>
      </c>
      <c r="M30" s="6" t="n"/>
      <c r="N30" s="6" t="n"/>
      <c r="O30" s="6" t="n"/>
      <c r="P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14" t="n"/>
      <c r="J31" s="14" t="n"/>
      <c r="K31" s="5" t="n"/>
      <c r="L31" s="14">
        <f>IF(J31="","",J31-120)</f>
        <v/>
      </c>
      <c r="M31" s="5" t="n"/>
      <c r="N31" s="5" t="n"/>
      <c r="O31" s="5" t="n"/>
      <c r="P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13" t="n"/>
      <c r="J32" s="13" t="n"/>
      <c r="K32" s="6" t="n"/>
      <c r="L32" s="13">
        <f>IF(J32="","",J32-120)</f>
        <v/>
      </c>
      <c r="M32" s="6" t="n"/>
      <c r="N32" s="6" t="n"/>
      <c r="O32" s="6" t="n"/>
      <c r="P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14" t="n"/>
      <c r="J33" s="14" t="n"/>
      <c r="K33" s="5" t="n"/>
      <c r="L33" s="14">
        <f>IF(J33="","",J33-120)</f>
        <v/>
      </c>
      <c r="M33" s="5" t="n"/>
      <c r="N33" s="5" t="n"/>
      <c r="O33" s="5" t="n"/>
      <c r="P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13" t="n"/>
      <c r="J34" s="13" t="n"/>
      <c r="K34" s="6" t="n"/>
      <c r="L34" s="13">
        <f>IF(J34="","",J34-120)</f>
        <v/>
      </c>
      <c r="M34" s="6" t="n"/>
      <c r="N34" s="6" t="n"/>
      <c r="O34" s="6" t="n"/>
      <c r="P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14" t="n"/>
      <c r="J35" s="14" t="n"/>
      <c r="K35" s="5" t="n"/>
      <c r="L35" s="14">
        <f>IF(J35="","",J35-120)</f>
        <v/>
      </c>
      <c r="M35" s="5" t="n"/>
      <c r="N35" s="5" t="n"/>
      <c r="O35" s="5" t="n"/>
      <c r="P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13" t="n"/>
      <c r="J36" s="13" t="n"/>
      <c r="K36" s="6" t="n"/>
      <c r="L36" s="13">
        <f>IF(J36="","",J36-120)</f>
        <v/>
      </c>
      <c r="M36" s="6" t="n"/>
      <c r="N36" s="6" t="n"/>
      <c r="O36" s="6" t="n"/>
      <c r="P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14" t="n"/>
      <c r="J37" s="14" t="n"/>
      <c r="K37" s="5" t="n"/>
      <c r="L37" s="14">
        <f>IF(J37="","",J37-120)</f>
        <v/>
      </c>
      <c r="M37" s="5" t="n"/>
      <c r="N37" s="5" t="n"/>
      <c r="O37" s="5" t="n"/>
      <c r="P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13" t="n"/>
      <c r="J38" s="13" t="n"/>
      <c r="K38" s="6" t="n"/>
      <c r="L38" s="13">
        <f>IF(J38="","",J38-120)</f>
        <v/>
      </c>
      <c r="M38" s="6" t="n"/>
      <c r="N38" s="6" t="n"/>
      <c r="O38" s="6" t="n"/>
      <c r="P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14" t="n"/>
      <c r="J39" s="14" t="n"/>
      <c r="K39" s="5" t="n"/>
      <c r="L39" s="14">
        <f>IF(J39="","",J39-120)</f>
        <v/>
      </c>
      <c r="M39" s="5" t="n"/>
      <c r="N39" s="5" t="n"/>
      <c r="O39" s="5" t="n"/>
      <c r="P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13" t="n"/>
      <c r="J40" s="13" t="n"/>
      <c r="K40" s="6" t="n"/>
      <c r="L40" s="13">
        <f>IF(J40="","",J40-120)</f>
        <v/>
      </c>
      <c r="M40" s="6" t="n"/>
      <c r="N40" s="6" t="n"/>
      <c r="O40" s="6" t="n"/>
      <c r="P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14" t="n"/>
      <c r="J41" s="14" t="n"/>
      <c r="K41" s="5" t="n"/>
      <c r="L41" s="14">
        <f>IF(J41="","",J41-120)</f>
        <v/>
      </c>
      <c r="M41" s="5" t="n"/>
      <c r="N41" s="5" t="n"/>
      <c r="O41" s="5" t="n"/>
      <c r="P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13" t="n"/>
      <c r="J42" s="13" t="n"/>
      <c r="K42" s="6" t="n"/>
      <c r="L42" s="13">
        <f>IF(J42="","",J42-120)</f>
        <v/>
      </c>
      <c r="M42" s="6" t="n"/>
      <c r="N42" s="6" t="n"/>
      <c r="O42" s="6" t="n"/>
      <c r="P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14" t="n"/>
      <c r="J43" s="14" t="n"/>
      <c r="K43" s="5" t="n"/>
      <c r="L43" s="14">
        <f>IF(J43="","",J43-120)</f>
        <v/>
      </c>
      <c r="M43" s="5" t="n"/>
      <c r="N43" s="5" t="n"/>
      <c r="O43" s="5" t="n"/>
      <c r="P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13" t="n"/>
      <c r="J44" s="13" t="n"/>
      <c r="K44" s="6" t="n"/>
      <c r="L44" s="13">
        <f>IF(J44="","",J44-120)</f>
        <v/>
      </c>
      <c r="M44" s="6" t="n"/>
      <c r="N44" s="6" t="n"/>
      <c r="O44" s="6" t="n"/>
      <c r="P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14" t="n"/>
      <c r="J45" s="14" t="n"/>
      <c r="K45" s="5" t="n"/>
      <c r="L45" s="14">
        <f>IF(J45="","",J45-120)</f>
        <v/>
      </c>
      <c r="M45" s="5" t="n"/>
      <c r="N45" s="5" t="n"/>
      <c r="O45" s="5" t="n"/>
      <c r="P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13" t="n"/>
      <c r="J46" s="13" t="n"/>
      <c r="K46" s="6" t="n"/>
      <c r="L46" s="13">
        <f>IF(J46="","",J46-120)</f>
        <v/>
      </c>
      <c r="M46" s="6" t="n"/>
      <c r="N46" s="6" t="n"/>
      <c r="O46" s="6" t="n"/>
      <c r="P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14" t="n"/>
      <c r="J47" s="14" t="n"/>
      <c r="K47" s="5" t="n"/>
      <c r="L47" s="14">
        <f>IF(J47="","",J47-120)</f>
        <v/>
      </c>
      <c r="M47" s="5" t="n"/>
      <c r="N47" s="5" t="n"/>
      <c r="O47" s="5" t="n"/>
      <c r="P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13" t="n"/>
      <c r="J48" s="13" t="n"/>
      <c r="K48" s="6" t="n"/>
      <c r="L48" s="13">
        <f>IF(J48="","",J48-120)</f>
        <v/>
      </c>
      <c r="M48" s="6" t="n"/>
      <c r="N48" s="6" t="n"/>
      <c r="O48" s="6" t="n"/>
      <c r="P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14" t="n"/>
      <c r="J49" s="14" t="n"/>
      <c r="K49" s="5" t="n"/>
      <c r="L49" s="14">
        <f>IF(J49="","",J49-120)</f>
        <v/>
      </c>
      <c r="M49" s="5" t="n"/>
      <c r="N49" s="5" t="n"/>
      <c r="O49" s="5" t="n"/>
      <c r="P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13" t="n"/>
      <c r="J50" s="13" t="n"/>
      <c r="K50" s="6" t="n"/>
      <c r="L50" s="13">
        <f>IF(J50="","",J50-120)</f>
        <v/>
      </c>
      <c r="M50" s="6" t="n"/>
      <c r="N50" s="6" t="n"/>
      <c r="O50" s="6" t="n"/>
      <c r="P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14" t="n"/>
      <c r="J51" s="14" t="n"/>
      <c r="K51" s="5" t="n"/>
      <c r="L51" s="14">
        <f>IF(J51="","",J51-120)</f>
        <v/>
      </c>
      <c r="M51" s="5" t="n"/>
      <c r="N51" s="5" t="n"/>
      <c r="O51" s="5" t="n"/>
      <c r="P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13" t="n"/>
      <c r="J52" s="13" t="n"/>
      <c r="K52" s="6" t="n"/>
      <c r="L52" s="13">
        <f>IF(J52="","",J52-120)</f>
        <v/>
      </c>
      <c r="M52" s="6" t="n"/>
      <c r="N52" s="6" t="n"/>
      <c r="O52" s="6" t="n"/>
      <c r="P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14" t="n"/>
      <c r="J53" s="14" t="n"/>
      <c r="K53" s="5" t="n"/>
      <c r="L53" s="14">
        <f>IF(J53="","",J53-120)</f>
        <v/>
      </c>
      <c r="M53" s="5" t="n"/>
      <c r="N53" s="5" t="n"/>
      <c r="O53" s="5" t="n"/>
      <c r="P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13" t="n"/>
      <c r="J54" s="13" t="n"/>
      <c r="K54" s="6" t="n"/>
      <c r="L54" s="13">
        <f>IF(J54="","",J54-120)</f>
        <v/>
      </c>
      <c r="M54" s="6" t="n"/>
      <c r="N54" s="6" t="n"/>
      <c r="O54" s="6" t="n"/>
      <c r="P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14" t="n"/>
      <c r="J55" s="14" t="n"/>
      <c r="K55" s="5" t="n"/>
      <c r="L55" s="14">
        <f>IF(J55="","",J55-120)</f>
        <v/>
      </c>
      <c r="M55" s="5" t="n"/>
      <c r="N55" s="5" t="n"/>
      <c r="O55" s="5" t="n"/>
      <c r="P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13" t="n"/>
      <c r="J56" s="13" t="n"/>
      <c r="K56" s="6" t="n"/>
      <c r="L56" s="13">
        <f>IF(J56="","",J56-120)</f>
        <v/>
      </c>
      <c r="M56" s="6" t="n"/>
      <c r="N56" s="6" t="n"/>
      <c r="O56" s="6" t="n"/>
      <c r="P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14" t="n"/>
      <c r="J57" s="14" t="n"/>
      <c r="K57" s="5" t="n"/>
      <c r="L57" s="14">
        <f>IF(J57="","",J57-120)</f>
        <v/>
      </c>
      <c r="M57" s="5" t="n"/>
      <c r="N57" s="5" t="n"/>
      <c r="O57" s="5" t="n"/>
      <c r="P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13" t="n"/>
      <c r="J58" s="13" t="n"/>
      <c r="K58" s="6" t="n"/>
      <c r="L58" s="13">
        <f>IF(J58="","",J58-120)</f>
        <v/>
      </c>
      <c r="M58" s="6" t="n"/>
      <c r="N58" s="6" t="n"/>
      <c r="O58" s="6" t="n"/>
      <c r="P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14" t="n"/>
      <c r="J59" s="14" t="n"/>
      <c r="K59" s="5" t="n"/>
      <c r="L59" s="14">
        <f>IF(J59="","",J59-120)</f>
        <v/>
      </c>
      <c r="M59" s="5" t="n"/>
      <c r="N59" s="5" t="n"/>
      <c r="O59" s="5" t="n"/>
      <c r="P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13" t="n"/>
      <c r="J60" s="13" t="n"/>
      <c r="K60" s="6" t="n"/>
      <c r="L60" s="13">
        <f>IF(J60="","",J60-120)</f>
        <v/>
      </c>
      <c r="M60" s="6" t="n"/>
      <c r="N60" s="6" t="n"/>
      <c r="O60" s="6" t="n"/>
      <c r="P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14" t="n"/>
      <c r="J61" s="14" t="n"/>
      <c r="K61" s="5" t="n"/>
      <c r="L61" s="14">
        <f>IF(J61="","",J61-120)</f>
        <v/>
      </c>
      <c r="M61" s="5" t="n"/>
      <c r="N61" s="5" t="n"/>
      <c r="O61" s="5" t="n"/>
      <c r="P61" s="5" t="n"/>
    </row>
  </sheetData>
  <autoFilter ref="A1:P1"/>
  <dataValidations count="4">
    <dataValidation sqref="A2:A61" showDropDown="0" showInputMessage="0" showErrorMessage="0" allowBlank="1" type="list">
      <formula1>=Listas!$F$2:$F$31</formula1>
    </dataValidation>
    <dataValidation sqref="D2:D61" showDropDown="0" showInputMessage="0" showErrorMessage="0" allowBlank="1" type="list">
      <formula1>=Listas!$T$2:$T$12</formula1>
    </dataValidation>
    <dataValidation sqref="G2:G61" showDropDown="0" showInputMessage="0" showErrorMessage="0" allowBlank="1" type="list">
      <formula1>=Listas!$U$2:$U$7</formula1>
    </dataValidation>
    <dataValidation sqref="K2:K61" showDropDown="0" showInputMessage="0" showErrorMessage="0" allowBlank="1" type="list">
      <formula1>=Listas!$V$2:$V$8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99999"/>
    <outlinePr summaryBelow="1" summaryRight="1"/>
    <pageSetUpPr/>
  </sheetPr>
  <dimension ref="B2:G5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2">
      <c r="B2" t="inlineStr">
        <is>
          <t>Imóvel</t>
        </is>
      </c>
      <c r="C2" t="inlineStr">
        <is>
          <t>Município</t>
        </is>
      </c>
      <c r="D2" t="inlineStr">
        <is>
          <t>CCIR</t>
        </is>
      </c>
      <c r="E2" t="inlineStr">
        <is>
          <t>Matrícula</t>
        </is>
      </c>
      <c r="F2" t="inlineStr">
        <is>
          <t>Área da Mat. (ha)</t>
        </is>
      </c>
      <c r="G2" t="inlineStr">
        <is>
          <t>Área Imóvel</t>
        </is>
      </c>
    </row>
    <row r="4">
      <c r="B4" t="inlineStr">
        <is>
          <t>Fazenda Ipê</t>
        </is>
      </c>
      <c r="C4" t="inlineStr">
        <is>
          <t>Sto Antonio do Aracanguá</t>
        </is>
      </c>
      <c r="D4" t="inlineStr">
        <is>
          <t>607.029.001.147-7</t>
        </is>
      </c>
      <c r="E4" t="n">
        <v>5787</v>
      </c>
      <c r="F4" t="n">
        <v>473.34</v>
      </c>
      <c r="G4" t="n">
        <v>473.34</v>
      </c>
    </row>
    <row r="5">
      <c r="B5" t="inlineStr">
        <is>
          <t>Fazenda São Geraldo</t>
        </is>
      </c>
      <c r="C5" t="inlineStr">
        <is>
          <t>Colina</t>
        </is>
      </c>
      <c r="D5" t="inlineStr">
        <is>
          <t>604.020.000.698-8</t>
        </is>
      </c>
      <c r="E5" t="n">
        <v>176</v>
      </c>
      <c r="F5" t="n">
        <v>467.06</v>
      </c>
      <c r="G5" t="n">
        <v>534.3602</v>
      </c>
    </row>
    <row r="6">
      <c r="E6" t="n">
        <v>19852</v>
      </c>
      <c r="F6" t="n">
        <v>26.62</v>
      </c>
    </row>
    <row r="7">
      <c r="E7" t="n">
        <v>14036</v>
      </c>
      <c r="F7" t="n">
        <v>40.6802</v>
      </c>
    </row>
    <row r="8">
      <c r="B8" t="inlineStr">
        <is>
          <t>Fazenda Conquista</t>
        </is>
      </c>
      <c r="C8" t="inlineStr">
        <is>
          <t>Santo Antonio do Aracanguá</t>
        </is>
      </c>
      <c r="D8" t="inlineStr">
        <is>
          <t>607.029.011.673-2</t>
        </is>
      </c>
      <c r="E8" t="n">
        <v>73291</v>
      </c>
      <c r="F8" t="n">
        <v>239.0512</v>
      </c>
      <c r="G8" t="n">
        <v>1136.7708</v>
      </c>
    </row>
    <row r="9">
      <c r="E9" t="n">
        <v>696</v>
      </c>
      <c r="F9" t="n">
        <v>12.1</v>
      </c>
    </row>
    <row r="10">
      <c r="E10" t="n">
        <v>41325</v>
      </c>
      <c r="F10" t="n">
        <v>12.1</v>
      </c>
    </row>
    <row r="11">
      <c r="E11" t="n">
        <v>41326</v>
      </c>
      <c r="F11" t="n">
        <v>445.885</v>
      </c>
    </row>
    <row r="12">
      <c r="E12" t="n">
        <v>41327</v>
      </c>
      <c r="F12" t="n">
        <v>427.6346</v>
      </c>
    </row>
    <row r="13">
      <c r="B13" t="inlineStr">
        <is>
          <t>Fazenda Santo Antonio</t>
        </is>
      </c>
      <c r="C13" t="inlineStr">
        <is>
          <t>Guapiaçu</t>
        </is>
      </c>
      <c r="D13" t="inlineStr">
        <is>
          <t>610.046.259.063-2</t>
        </is>
      </c>
      <c r="E13" t="n">
        <v>38971</v>
      </c>
      <c r="F13" t="n">
        <v>2017.4781</v>
      </c>
      <c r="G13" t="n">
        <v>2087.6581</v>
      </c>
    </row>
    <row r="14">
      <c r="E14" t="n">
        <v>10632</v>
      </c>
      <c r="F14" t="n">
        <v>70.18000000000001</v>
      </c>
    </row>
    <row r="15">
      <c r="B15" t="inlineStr">
        <is>
          <t>Fazenda Alvorada</t>
        </is>
      </c>
      <c r="C15" t="inlineStr">
        <is>
          <t>Altair</t>
        </is>
      </c>
      <c r="D15" t="inlineStr">
        <is>
          <t>603.015.001.104-1</t>
        </is>
      </c>
      <c r="E15" t="n">
        <v>7430</v>
      </c>
      <c r="F15" t="n">
        <v>584.914</v>
      </c>
      <c r="G15" t="n">
        <v>679.2288</v>
      </c>
    </row>
    <row r="16">
      <c r="E16" t="n">
        <v>44121</v>
      </c>
      <c r="F16" t="n">
        <v>20.7091</v>
      </c>
    </row>
    <row r="17">
      <c r="E17" t="n">
        <v>44122</v>
      </c>
      <c r="F17" t="n">
        <v>26.2366</v>
      </c>
    </row>
    <row r="18">
      <c r="E18" t="n">
        <v>44123</v>
      </c>
      <c r="F18" t="n">
        <v>18.7245</v>
      </c>
    </row>
    <row r="19">
      <c r="E19" t="n">
        <v>44124</v>
      </c>
      <c r="F19" t="n">
        <v>28.6446</v>
      </c>
    </row>
    <row r="20">
      <c r="B20" t="inlineStr">
        <is>
          <t>Fazenda Santa Inacia</t>
        </is>
      </c>
      <c r="C20" t="inlineStr">
        <is>
          <t>Colina</t>
        </is>
      </c>
      <c r="D20" t="inlineStr">
        <is>
          <t>604.020.001.457-3</t>
        </is>
      </c>
      <c r="E20" t="n">
        <v>14892</v>
      </c>
      <c r="F20" t="n">
        <v>522.5</v>
      </c>
      <c r="G20" t="n">
        <v>522.5</v>
      </c>
    </row>
    <row r="21">
      <c r="B21" t="inlineStr">
        <is>
          <t xml:space="preserve">Fazenda Iracema </t>
        </is>
      </c>
      <c r="C21" t="inlineStr">
        <is>
          <t>Colina</t>
        </is>
      </c>
      <c r="D21" t="inlineStr">
        <is>
          <t>604.020.001.449-2</t>
        </is>
      </c>
      <c r="E21" t="n">
        <v>10319</v>
      </c>
      <c r="F21" t="n">
        <v>550.99</v>
      </c>
      <c r="G21" t="n">
        <v>550.99</v>
      </c>
    </row>
    <row r="22">
      <c r="B22" t="inlineStr">
        <is>
          <t>Fazenda Vitória</t>
        </is>
      </c>
      <c r="C22" t="inlineStr">
        <is>
          <t>Santo Antonio do Aracanguá</t>
        </is>
      </c>
      <c r="D22" t="inlineStr">
        <is>
          <t>999.989.600.148-5</t>
        </is>
      </c>
      <c r="E22" t="n">
        <v>45933</v>
      </c>
      <c r="F22" t="n">
        <v>10.18</v>
      </c>
      <c r="G22" t="n">
        <v>386.0636</v>
      </c>
    </row>
    <row r="23">
      <c r="E23" t="n">
        <v>45932</v>
      </c>
      <c r="F23" t="n">
        <v>123.778</v>
      </c>
    </row>
    <row r="24">
      <c r="E24" t="n">
        <v>49159</v>
      </c>
      <c r="F24" t="n">
        <v>94.8056</v>
      </c>
    </row>
    <row r="25">
      <c r="E25" t="n">
        <v>3201</v>
      </c>
      <c r="F25" t="n">
        <v>157.3</v>
      </c>
    </row>
    <row r="26">
      <c r="B26" t="inlineStr">
        <is>
          <t>Fazenda Santa Helena</t>
        </is>
      </c>
      <c r="C26" t="inlineStr">
        <is>
          <t>Santo Antonio do Aracanguá</t>
        </is>
      </c>
      <c r="D26" t="inlineStr">
        <is>
          <t>617.016.010.375-7</t>
        </is>
      </c>
      <c r="E26" t="n">
        <v>37883</v>
      </c>
      <c r="F26" t="n">
        <v>295.7632</v>
      </c>
      <c r="G26" t="n">
        <v>338.8</v>
      </c>
    </row>
    <row r="27">
      <c r="E27" t="n">
        <v>37882</v>
      </c>
      <c r="F27" t="n">
        <v>43.0368</v>
      </c>
    </row>
    <row r="28">
      <c r="B28" t="inlineStr">
        <is>
          <t>Fazenda São José</t>
        </is>
      </c>
      <c r="C28" t="inlineStr">
        <is>
          <t>Severínia</t>
        </is>
      </c>
      <c r="D28" t="inlineStr">
        <is>
          <t>611.131.001.260-0</t>
        </is>
      </c>
      <c r="E28" t="n">
        <v>7207</v>
      </c>
      <c r="F28" t="n">
        <v>519.332</v>
      </c>
      <c r="G28" t="n">
        <v>519.332</v>
      </c>
    </row>
    <row r="29">
      <c r="B29" t="inlineStr">
        <is>
          <t>Fazenda São Luiz</t>
        </is>
      </c>
      <c r="C29" t="inlineStr">
        <is>
          <t>Severínia</t>
        </is>
      </c>
      <c r="D29" t="inlineStr">
        <is>
          <t>611.131.000.710-0</t>
        </is>
      </c>
      <c r="E29" t="n">
        <v>24047</v>
      </c>
      <c r="F29" t="n">
        <v>57.5718</v>
      </c>
      <c r="G29" t="n">
        <v>612.0771999999999</v>
      </c>
    </row>
    <row r="30">
      <c r="E30" t="n">
        <v>30714</v>
      </c>
      <c r="F30" t="n">
        <v>20.656</v>
      </c>
    </row>
    <row r="31">
      <c r="E31" t="n">
        <v>12236</v>
      </c>
      <c r="F31" t="n">
        <v>271.645</v>
      </c>
    </row>
    <row r="32">
      <c r="E32" t="n">
        <v>12237</v>
      </c>
      <c r="F32" t="n">
        <v>245.7994</v>
      </c>
    </row>
    <row r="33">
      <c r="E33" t="n">
        <v>6710</v>
      </c>
      <c r="F33" t="n">
        <v>9.255000000000001</v>
      </c>
    </row>
    <row r="34">
      <c r="E34" t="n">
        <v>24932</v>
      </c>
      <c r="F34" t="n">
        <v>7.15</v>
      </c>
    </row>
    <row r="35">
      <c r="B35" t="inlineStr">
        <is>
          <t>Sítio São José I</t>
        </is>
      </c>
      <c r="C35" t="inlineStr">
        <is>
          <t>Severínia</t>
        </is>
      </c>
      <c r="D35" t="inlineStr">
        <is>
          <t>611.131.000.612-0</t>
        </is>
      </c>
      <c r="E35" t="n">
        <v>417</v>
      </c>
      <c r="F35" t="n">
        <v>16.94</v>
      </c>
      <c r="G35" t="n">
        <v>16.94</v>
      </c>
    </row>
    <row r="36">
      <c r="B36" t="inlineStr">
        <is>
          <t>Fazenda Santa Rosa</t>
        </is>
      </c>
      <c r="C36" t="inlineStr">
        <is>
          <t>Altair</t>
        </is>
      </c>
      <c r="D36" t="inlineStr">
        <is>
          <t>636.061.049.859-9</t>
        </is>
      </c>
      <c r="E36" t="n">
        <v>18300</v>
      </c>
      <c r="F36" t="n">
        <v>1285.0442</v>
      </c>
      <c r="G36" t="n">
        <v>1285.0442</v>
      </c>
    </row>
    <row r="37">
      <c r="B37" t="inlineStr">
        <is>
          <t>Fazenda Santa Cruz</t>
        </is>
      </c>
      <c r="C37" t="inlineStr">
        <is>
          <t>Onda Verde</t>
        </is>
      </c>
      <c r="D37" t="inlineStr">
        <is>
          <t>610.119.000.620-7</t>
        </is>
      </c>
      <c r="E37" t="n">
        <v>1469</v>
      </c>
      <c r="F37" t="n">
        <v>91.95999999999999</v>
      </c>
      <c r="G37" t="n">
        <v>91.95999999999999</v>
      </c>
    </row>
    <row r="38">
      <c r="B38" t="inlineStr">
        <is>
          <t>Fazenda Santa Maria</t>
        </is>
      </c>
      <c r="C38" t="inlineStr">
        <is>
          <t>Monte Azul Paulista</t>
        </is>
      </c>
      <c r="D38" t="inlineStr">
        <is>
          <t>612.073.001.678-3</t>
        </is>
      </c>
      <c r="E38" t="n">
        <v>119</v>
      </c>
      <c r="F38" t="n">
        <v>341.22</v>
      </c>
      <c r="G38" t="n">
        <v>341.22</v>
      </c>
    </row>
    <row r="39">
      <c r="B39" t="inlineStr">
        <is>
          <t>Fazenda São João</t>
        </is>
      </c>
      <c r="C39" t="inlineStr">
        <is>
          <t>Guaraci</t>
        </is>
      </c>
      <c r="D39" t="inlineStr">
        <is>
          <t>999.954.021.474-3</t>
        </is>
      </c>
      <c r="E39" t="n">
        <v>45390</v>
      </c>
      <c r="F39" t="n">
        <v>32.052</v>
      </c>
      <c r="G39" t="n">
        <v>1813.887</v>
      </c>
    </row>
    <row r="40">
      <c r="E40" t="n">
        <v>28886</v>
      </c>
      <c r="F40" t="n">
        <v>13.9616</v>
      </c>
    </row>
    <row r="41">
      <c r="E41" t="n">
        <v>28885</v>
      </c>
      <c r="F41" t="n">
        <v>1767.8734</v>
      </c>
    </row>
    <row r="42">
      <c r="B42" t="inlineStr">
        <is>
          <t>Fazenda Primavera</t>
        </is>
      </c>
      <c r="C42" t="inlineStr">
        <is>
          <t>Santo Antonio do Aracanguá</t>
        </is>
      </c>
      <c r="D42" t="inlineStr">
        <is>
          <t>617.016.010.383-8</t>
        </is>
      </c>
      <c r="E42" t="n">
        <v>31031</v>
      </c>
      <c r="F42" t="n">
        <v>1908.4</v>
      </c>
      <c r="G42" t="n">
        <v>2162.5182</v>
      </c>
    </row>
    <row r="43">
      <c r="E43" t="n">
        <v>30980</v>
      </c>
      <c r="F43" t="n">
        <v>121</v>
      </c>
    </row>
    <row r="44">
      <c r="E44" t="n">
        <v>37741</v>
      </c>
      <c r="F44" t="n">
        <v>133.1182</v>
      </c>
    </row>
    <row r="45">
      <c r="B45" t="inlineStr">
        <is>
          <t>Fazenda São Pedro</t>
        </is>
      </c>
      <c r="C45" t="inlineStr">
        <is>
          <t>Altair</t>
        </is>
      </c>
      <c r="D45" t="inlineStr">
        <is>
          <t>603.015.000.582-3</t>
        </is>
      </c>
      <c r="E45" t="n">
        <v>27246</v>
      </c>
      <c r="F45" t="n">
        <v>14.1328</v>
      </c>
      <c r="G45" t="n">
        <v>231.576</v>
      </c>
    </row>
    <row r="46">
      <c r="E46" t="n">
        <v>27247</v>
      </c>
      <c r="F46" t="n">
        <v>19.36</v>
      </c>
    </row>
    <row r="47">
      <c r="E47" t="n">
        <v>1068</v>
      </c>
      <c r="F47" t="n">
        <v>17.8208</v>
      </c>
    </row>
    <row r="48">
      <c r="E48" t="n">
        <v>38870</v>
      </c>
      <c r="F48" t="n">
        <v>59.7517</v>
      </c>
    </row>
    <row r="49">
      <c r="E49" t="n">
        <v>38869</v>
      </c>
      <c r="F49" t="n">
        <v>33.3907</v>
      </c>
    </row>
    <row r="50">
      <c r="E50" t="n">
        <v>14073</v>
      </c>
      <c r="F50" t="n">
        <v>87.12</v>
      </c>
    </row>
    <row r="51">
      <c r="B51" t="inlineStr">
        <is>
          <t>Fazenda Lago Azul</t>
        </is>
      </c>
      <c r="C51" t="inlineStr">
        <is>
          <t>Teodoro Sampaio</t>
        </is>
      </c>
      <c r="D51" t="inlineStr">
        <is>
          <t>626.279.272.035-4</t>
        </is>
      </c>
      <c r="E51" t="n">
        <v>17063</v>
      </c>
      <c r="F51" t="n">
        <v>1548.9164</v>
      </c>
      <c r="G51" t="n">
        <v>1548.9164</v>
      </c>
    </row>
    <row r="52">
      <c r="B52" t="inlineStr">
        <is>
          <t>Fazenda São Francisco (S.Pedro)
GEO c/ desmembramento</t>
        </is>
      </c>
      <c r="C52" t="inlineStr">
        <is>
          <t>Guaraci</t>
        </is>
      </c>
      <c r="D52" t="inlineStr">
        <is>
          <t>603.023.003.344-5</t>
        </is>
      </c>
      <c r="E52" t="n">
        <v>52198</v>
      </c>
      <c r="F52" t="n">
        <v>145.5166</v>
      </c>
      <c r="G52" t="n">
        <v>850.5923</v>
      </c>
    </row>
    <row r="53">
      <c r="E53" t="n">
        <v>52199</v>
      </c>
      <c r="F53" t="n">
        <v>55.3451</v>
      </c>
    </row>
    <row r="54">
      <c r="E54" t="n">
        <v>52200</v>
      </c>
      <c r="F54" t="n">
        <v>45.3106</v>
      </c>
    </row>
    <row r="55">
      <c r="E55" t="n">
        <v>89688</v>
      </c>
      <c r="F55" t="n">
        <v>248.34</v>
      </c>
    </row>
    <row r="56">
      <c r="E56" t="n">
        <v>89691</v>
      </c>
      <c r="F56" t="n">
        <v>134.74</v>
      </c>
    </row>
    <row r="57">
      <c r="E57" t="n">
        <v>89692</v>
      </c>
      <c r="F57" t="n">
        <v>221.34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9999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Fazenda</t>
        </is>
      </c>
      <c r="B1" t="inlineStr">
        <is>
          <t>Matrícula</t>
        </is>
      </c>
      <c r="C1" t="inlineStr">
        <is>
          <t>INCRA</t>
        </is>
      </c>
      <c r="D1" t="inlineStr">
        <is>
          <t>ITR</t>
        </is>
      </c>
    </row>
    <row r="2">
      <c r="A2" t="inlineStr">
        <is>
          <t>FAZENDA CÓRREGO RICO - MFG-18000</t>
        </is>
      </c>
      <c r="B2" t="inlineStr">
        <is>
          <t>10328 - 14023</t>
        </is>
      </c>
      <c r="C2" t="inlineStr">
        <is>
          <t>603.015.272.353-7</t>
        </is>
      </c>
      <c r="D2" t="inlineStr">
        <is>
          <t>3.413.635-5</t>
        </is>
      </c>
    </row>
    <row r="3">
      <c r="A3" t="inlineStr">
        <is>
          <t>FAZENDA QUATRO IRMÃOS - SOAs-18001</t>
        </is>
      </c>
      <c r="B3" t="n">
        <v>9477</v>
      </c>
      <c r="C3" t="inlineStr">
        <is>
          <t>000.019.292.982-2</t>
        </is>
      </c>
      <c r="D3" t="inlineStr">
        <is>
          <t>0.784.839-0</t>
        </is>
      </c>
    </row>
    <row r="4">
      <c r="D4" t="inlineStr">
        <is>
          <t>0.784.839-0</t>
        </is>
      </c>
    </row>
    <row r="5">
      <c r="D5" t="inlineStr">
        <is>
          <t>6.134.436-2</t>
        </is>
      </c>
    </row>
    <row r="6">
      <c r="A6" t="inlineStr">
        <is>
          <t>FAZ. GIRASSOIS - GAQ-18002</t>
        </is>
      </c>
      <c r="B6" t="n">
        <v>9481</v>
      </c>
      <c r="C6" t="inlineStr">
        <is>
          <t>000.019.292.966-0</t>
        </is>
      </c>
      <c r="D6" t="inlineStr">
        <is>
          <t>6.134.436-2</t>
        </is>
      </c>
    </row>
    <row r="7">
      <c r="D7" t="inlineStr">
        <is>
          <t>0.323.933-0</t>
        </is>
      </c>
    </row>
    <row r="8">
      <c r="D8" t="inlineStr">
        <is>
          <t>7.349.298-1</t>
        </is>
      </c>
    </row>
    <row r="9">
      <c r="D9" t="inlineStr">
        <is>
          <t>0.327.778-0</t>
        </is>
      </c>
    </row>
    <row r="10">
      <c r="D10" t="inlineStr">
        <is>
          <t>3.694.372-0</t>
        </is>
      </c>
    </row>
    <row r="11">
      <c r="A11" t="inlineStr">
        <is>
          <t>FAZ. MANGUE - MQ</t>
        </is>
      </c>
      <c r="B11" t="n">
        <v>10487</v>
      </c>
      <c r="C11" t="inlineStr">
        <is>
          <t>603.031.273.058-6</t>
        </is>
      </c>
      <c r="D11" t="inlineStr">
        <is>
          <t>6.134.432-0</t>
        </is>
      </c>
    </row>
    <row r="12">
      <c r="D12" t="inlineStr">
        <is>
          <t>6.134.432-0</t>
        </is>
      </c>
    </row>
    <row r="13">
      <c r="A13" t="inlineStr">
        <is>
          <t>FAZ. MANGUE - MQ</t>
        </is>
      </c>
      <c r="B13" t="n">
        <v>10487</v>
      </c>
      <c r="C13" t="inlineStr">
        <is>
          <t>603.031.273.058-6</t>
        </is>
      </c>
      <c r="D13" t="inlineStr">
        <is>
          <t>6.134.432-0</t>
        </is>
      </c>
    </row>
    <row r="14">
      <c r="D14" t="inlineStr">
        <is>
          <t>3.101.001-6</t>
        </is>
      </c>
    </row>
    <row r="15">
      <c r="D15" t="inlineStr">
        <is>
          <t>3.101.001-6</t>
        </is>
      </c>
    </row>
    <row r="16">
      <c r="D16" t="inlineStr">
        <is>
          <t>3.101.001-6</t>
        </is>
      </c>
    </row>
    <row r="17">
      <c r="D17" t="inlineStr">
        <is>
          <t>0.312.930-6</t>
        </is>
      </c>
    </row>
    <row r="18">
      <c r="A18" t="inlineStr">
        <is>
          <t>FAZENDA AGUA DOCE PARTE IV - RJP</t>
        </is>
      </c>
      <c r="B18" t="n">
        <v>17035</v>
      </c>
      <c r="C18" t="inlineStr">
        <is>
          <t>603.031.000.400-4</t>
        </is>
      </c>
      <c r="D18" t="inlineStr">
        <is>
          <t>0.312.930-6</t>
        </is>
      </c>
    </row>
    <row r="19">
      <c r="A19" t="inlineStr">
        <is>
          <t>FAZENDA AGUA DOCE PARTE II - MAP</t>
        </is>
      </c>
      <c r="B19" t="n">
        <v>17033</v>
      </c>
      <c r="C19" t="inlineStr">
        <is>
          <t>999.989.956.007-8</t>
        </is>
      </c>
      <c r="D19" t="inlineStr">
        <is>
          <t>8.876.740-0</t>
        </is>
      </c>
    </row>
    <row r="20">
      <c r="A20" t="inlineStr">
        <is>
          <t>FAZENDA ANTONIO BIANCO - SBA</t>
        </is>
      </c>
      <c r="B20" t="n">
        <v>11391</v>
      </c>
      <c r="C20" t="inlineStr">
        <is>
          <t>603.031.273.066-7</t>
        </is>
      </c>
      <c r="D20" t="inlineStr">
        <is>
          <t>3.101.001-6</t>
        </is>
      </c>
    </row>
    <row r="21">
      <c r="D21" t="inlineStr">
        <is>
          <t>3.101.001-6</t>
        </is>
      </c>
    </row>
    <row r="22">
      <c r="D22" t="inlineStr">
        <is>
          <t>3.101.001-6</t>
        </is>
      </c>
    </row>
    <row r="23">
      <c r="D23" t="inlineStr">
        <is>
          <t>3.101.001-6</t>
        </is>
      </c>
    </row>
    <row r="24">
      <c r="A24" t="inlineStr">
        <is>
          <t>FAZ. SANTO INACIO - ILMJA</t>
        </is>
      </c>
      <c r="B24" t="n">
        <v>14022</v>
      </c>
      <c r="C24" t="inlineStr">
        <is>
          <t>950.122.860.476-5</t>
        </is>
      </c>
      <c r="D24" t="inlineStr">
        <is>
          <t>0.327.777-1</t>
        </is>
      </c>
    </row>
    <row r="25">
      <c r="A25" t="inlineStr">
        <is>
          <t>FAZ. SANTO INACIO - ILMJA</t>
        </is>
      </c>
      <c r="B25" t="n">
        <v>14022</v>
      </c>
      <c r="C25" t="inlineStr">
        <is>
          <t>950.122.860.476-5</t>
        </is>
      </c>
      <c r="D25" t="inlineStr">
        <is>
          <t>0.327.777-1</t>
        </is>
      </c>
    </row>
    <row r="26">
      <c r="D26" t="inlineStr">
        <is>
          <t>3.694.372-0</t>
        </is>
      </c>
    </row>
    <row r="27">
      <c r="D27" t="inlineStr">
        <is>
          <t>3.262.606-1</t>
        </is>
      </c>
    </row>
    <row r="28">
      <c r="A28" t="inlineStr">
        <is>
          <t>FAZENDA CÓRREGO RICO - LAN</t>
        </is>
      </c>
      <c r="B28" t="n">
        <v>14021</v>
      </c>
      <c r="C28" t="inlineStr">
        <is>
          <t>623.024.006.955-2</t>
        </is>
      </c>
      <c r="D28" t="inlineStr">
        <is>
          <t>0.290.263-0</t>
        </is>
      </c>
    </row>
    <row r="29">
      <c r="D29" t="inlineStr">
        <is>
          <t>3.262.606-1</t>
        </is>
      </c>
    </row>
    <row r="30">
      <c r="D30" t="inlineStr">
        <is>
          <t>3.262.606-1</t>
        </is>
      </c>
    </row>
    <row r="31">
      <c r="D31" t="inlineStr">
        <is>
          <t>6.134.435-4</t>
        </is>
      </c>
    </row>
    <row r="32">
      <c r="D32" t="inlineStr">
        <is>
          <t>0.308.653-4</t>
        </is>
      </c>
    </row>
    <row r="33">
      <c r="A33" t="inlineStr">
        <is>
          <t>FAZENDA OLIVEIRA - MAO</t>
        </is>
      </c>
      <c r="B33" t="n">
        <v>17864</v>
      </c>
      <c r="C33" t="inlineStr">
        <is>
          <t>603.031.000.507-8</t>
        </is>
      </c>
      <c r="D33" t="inlineStr">
        <is>
          <t>0.322.197-0</t>
        </is>
      </c>
    </row>
    <row r="34">
      <c r="D34" t="inlineStr">
        <is>
          <t>0.300.029-0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lista_1</t>
        </is>
      </c>
      <c r="B1" s="17" t="inlineStr">
        <is>
          <t>lista_2</t>
        </is>
      </c>
      <c r="C1" s="17" t="inlineStr">
        <is>
          <t>lista_3</t>
        </is>
      </c>
      <c r="D1" s="17" t="inlineStr">
        <is>
          <t>lista_4</t>
        </is>
      </c>
      <c r="E1" s="17" t="inlineStr">
        <is>
          <t>lista_5</t>
        </is>
      </c>
      <c r="F1" s="17" t="inlineStr">
        <is>
          <t>lista_6</t>
        </is>
      </c>
      <c r="G1" s="17" t="inlineStr">
        <is>
          <t>lista_7</t>
        </is>
      </c>
      <c r="H1" s="17" t="inlineStr">
        <is>
          <t>lista_8</t>
        </is>
      </c>
      <c r="I1" s="17" t="inlineStr">
        <is>
          <t>lista_9</t>
        </is>
      </c>
      <c r="J1" s="17" t="inlineStr">
        <is>
          <t>lista_10</t>
        </is>
      </c>
      <c r="K1" s="17" t="inlineStr">
        <is>
          <t>lista_11</t>
        </is>
      </c>
      <c r="L1" s="17" t="inlineStr">
        <is>
          <t>lista_12</t>
        </is>
      </c>
      <c r="M1" s="17" t="inlineStr">
        <is>
          <t>lista_13</t>
        </is>
      </c>
      <c r="N1" s="17" t="inlineStr">
        <is>
          <t>lista_14</t>
        </is>
      </c>
      <c r="O1" s="17" t="inlineStr">
        <is>
          <t>lista_15</t>
        </is>
      </c>
      <c r="P1" s="17" t="inlineStr">
        <is>
          <t>lista_16</t>
        </is>
      </c>
      <c r="Q1" s="17" t="inlineStr">
        <is>
          <t>lista_17</t>
        </is>
      </c>
      <c r="R1" s="17" t="inlineStr">
        <is>
          <t>lista_18</t>
        </is>
      </c>
      <c r="S1" s="17" t="inlineStr">
        <is>
          <t>lista_19</t>
        </is>
      </c>
      <c r="T1" s="17" t="inlineStr">
        <is>
          <t>lista_20</t>
        </is>
      </c>
      <c r="U1" s="17" t="inlineStr">
        <is>
          <t>lista_21</t>
        </is>
      </c>
      <c r="V1" s="17" t="inlineStr">
        <is>
          <t>lista_22</t>
        </is>
      </c>
    </row>
    <row r="2">
      <c r="A2" t="inlineStr">
        <is>
          <t>Ativo</t>
        </is>
      </c>
      <c r="B2" t="inlineStr">
        <is>
          <t>Não iniciado</t>
        </is>
      </c>
      <c r="C2" t="inlineStr">
        <is>
          <t>Ativo</t>
        </is>
      </c>
      <c r="D2" t="inlineStr">
        <is>
          <t>Sim</t>
        </is>
      </c>
      <c r="E2" t="inlineStr">
        <is>
          <t>Sim</t>
        </is>
      </c>
      <c r="F2" t="inlineStr">
        <is>
          <t>Fazenda Ipê</t>
        </is>
      </c>
      <c r="G2" t="inlineStr">
        <is>
          <t>Captação superficial</t>
        </is>
      </c>
      <c r="H2" t="inlineStr">
        <is>
          <t>DAEE-SP</t>
        </is>
      </c>
      <c r="I2" t="inlineStr">
        <is>
          <t>Vigente</t>
        </is>
      </c>
      <c r="J2" t="inlineStr">
        <is>
          <t>Auto de Infração Ambiental (AIA)</t>
        </is>
      </c>
      <c r="K2" t="inlineStr">
        <is>
          <t>CETESB</t>
        </is>
      </c>
      <c r="L2" t="inlineStr">
        <is>
          <t>Em defesa</t>
        </is>
      </c>
      <c r="M2" t="inlineStr">
        <is>
          <t>Sim</t>
        </is>
      </c>
      <c r="N2" t="inlineStr">
        <is>
          <t>Não iniciado</t>
        </is>
      </c>
      <c r="O2" t="inlineStr">
        <is>
          <t>Em análise</t>
        </is>
      </c>
      <c r="P2" t="inlineStr">
        <is>
          <t>Cana-de-açúcar</t>
        </is>
      </c>
      <c r="Q2" t="inlineStr">
        <is>
          <t>Sim — APP</t>
        </is>
      </c>
      <c r="R2" t="inlineStr">
        <is>
          <t>Acidental</t>
        </is>
      </c>
      <c r="S2" t="inlineStr">
        <is>
          <t>Sim</t>
        </is>
      </c>
      <c r="T2" t="inlineStr">
        <is>
          <t>Licença Prévia (LP)</t>
        </is>
      </c>
      <c r="U2" t="inlineStr">
        <is>
          <t>CETESB</t>
        </is>
      </c>
      <c r="V2" t="inlineStr">
        <is>
          <t>Vigente</t>
        </is>
      </c>
    </row>
    <row r="3">
      <c r="A3" t="inlineStr">
        <is>
          <t>Pendente</t>
        </is>
      </c>
      <c r="B3" t="inlineStr">
        <is>
          <t>Em consulta</t>
        </is>
      </c>
      <c r="C3" t="inlineStr">
        <is>
          <t>Pendente</t>
        </is>
      </c>
      <c r="D3" t="inlineStr">
        <is>
          <t>Não</t>
        </is>
      </c>
      <c r="E3" t="inlineStr">
        <is>
          <t>Não</t>
        </is>
      </c>
      <c r="F3" t="inlineStr">
        <is>
          <t>Fazenda São Geraldo</t>
        </is>
      </c>
      <c r="G3" t="inlineStr">
        <is>
          <t>Poço tubular profundo</t>
        </is>
      </c>
      <c r="H3" t="inlineStr">
        <is>
          <t>ANA</t>
        </is>
      </c>
      <c r="I3" t="inlineStr">
        <is>
          <t>Vencida</t>
        </is>
      </c>
      <c r="J3" t="inlineStr">
        <is>
          <t>Auto de Imposição de Penalidade</t>
        </is>
      </c>
      <c r="K3" t="inlineStr">
        <is>
          <t>Polícia Militar Ambiental</t>
        </is>
      </c>
      <c r="L3" t="inlineStr">
        <is>
          <t>Em recurso</t>
        </is>
      </c>
      <c r="M3" t="inlineStr">
        <is>
          <t>Não</t>
        </is>
      </c>
      <c r="N3" t="inlineStr">
        <is>
          <t>Em execução</t>
        </is>
      </c>
      <c r="O3" t="inlineStr">
        <is>
          <t>Em exigência</t>
        </is>
      </c>
      <c r="P3" t="inlineStr">
        <is>
          <t>Pastagem</t>
        </is>
      </c>
      <c r="Q3" t="inlineStr">
        <is>
          <t>Sim — Reserva Legal</t>
        </is>
      </c>
      <c r="R3" t="inlineStr">
        <is>
          <t>Criminosa/dolosa</t>
        </is>
      </c>
      <c r="S3" t="inlineStr">
        <is>
          <t>Não</t>
        </is>
      </c>
      <c r="T3" t="inlineStr">
        <is>
          <t>Licença de Instalação (LI)</t>
        </is>
      </c>
      <c r="U3" t="inlineStr">
        <is>
          <t>SEMIL-SP</t>
        </is>
      </c>
      <c r="V3" t="inlineStr">
        <is>
          <t>Vencida</t>
        </is>
      </c>
    </row>
    <row r="4">
      <c r="A4" t="inlineStr">
        <is>
          <t>Em análise</t>
        </is>
      </c>
      <c r="B4" t="inlineStr">
        <is>
          <t>Concluído</t>
        </is>
      </c>
      <c r="C4" t="inlineStr">
        <is>
          <t>Em análise</t>
        </is>
      </c>
      <c r="D4" t="inlineStr">
        <is>
          <t>Em processo</t>
        </is>
      </c>
      <c r="E4" t="inlineStr">
        <is>
          <t>Não se aplica</t>
        </is>
      </c>
      <c r="F4" t="inlineStr">
        <is>
          <t>Fazenda Conquista</t>
        </is>
      </c>
      <c r="G4" t="inlineStr">
        <is>
          <t>Poço raso/cacimba</t>
        </is>
      </c>
      <c r="H4" t="inlineStr">
        <is>
          <t>Município</t>
        </is>
      </c>
      <c r="I4" t="inlineStr">
        <is>
          <t>Em renovação</t>
        </is>
      </c>
      <c r="J4" t="inlineStr">
        <is>
          <t>Auto de Inspeção</t>
        </is>
      </c>
      <c r="K4" t="inlineStr">
        <is>
          <t>IBAMA</t>
        </is>
      </c>
      <c r="L4" t="inlineStr">
        <is>
          <t>Aguardando julgamento</t>
        </is>
      </c>
      <c r="M4" t="inlineStr">
        <is>
          <t>Em elaboração</t>
        </is>
      </c>
      <c r="N4" t="inlineStr">
        <is>
          <t>Concluído</t>
        </is>
      </c>
      <c r="O4" t="inlineStr">
        <is>
          <t>Deferido</t>
        </is>
      </c>
      <c r="P4" t="inlineStr">
        <is>
          <t>Reflorestamento</t>
        </is>
      </c>
      <c r="Q4" t="inlineStr">
        <is>
          <t>Sim — ambos</t>
        </is>
      </c>
      <c r="R4" t="inlineStr">
        <is>
          <t>Origem externa (vizinho/rodovia/ferrovia)</t>
        </is>
      </c>
      <c r="S4" t="inlineStr">
        <is>
          <t>A verificar</t>
        </is>
      </c>
      <c r="T4" t="inlineStr">
        <is>
          <t>Licença de Operação (LO)</t>
        </is>
      </c>
      <c r="U4" t="inlineStr">
        <is>
          <t>IBAMA</t>
        </is>
      </c>
      <c r="V4" t="inlineStr">
        <is>
          <t>Em renovação</t>
        </is>
      </c>
    </row>
    <row r="5">
      <c r="A5" t="inlineStr">
        <is>
          <t>Cancelado</t>
        </is>
      </c>
      <c r="B5" t="inlineStr">
        <is>
          <t>Pendência documental</t>
        </is>
      </c>
      <c r="C5" t="inlineStr">
        <is>
          <t>Analisado sem pendências</t>
        </is>
      </c>
      <c r="D5" t="inlineStr">
        <is>
          <t>Não se aplica</t>
        </is>
      </c>
      <c r="E5" t="inlineStr">
        <is>
          <t>A verificar</t>
        </is>
      </c>
      <c r="F5" t="inlineStr">
        <is>
          <t>Fazenda Santo Antonio</t>
        </is>
      </c>
      <c r="G5" t="inlineStr">
        <is>
          <t>Barramento/reservatório</t>
        </is>
      </c>
      <c r="H5" t="inlineStr">
        <is>
          <t>Outro</t>
        </is>
      </c>
      <c r="I5" t="inlineStr">
        <is>
          <t>Em análise</t>
        </is>
      </c>
      <c r="J5" t="inlineStr">
        <is>
          <t>TCRA</t>
        </is>
      </c>
      <c r="K5" t="inlineStr">
        <is>
          <t>SEMIL-SP</t>
        </is>
      </c>
      <c r="L5" t="inlineStr">
        <is>
          <t>Pago</t>
        </is>
      </c>
      <c r="M5" t="inlineStr">
        <is>
          <t>Não se aplica</t>
        </is>
      </c>
      <c r="N5" t="inlineStr">
        <is>
          <t>Em atraso</t>
        </is>
      </c>
      <c r="O5" t="inlineStr">
        <is>
          <t>Indeferido</t>
        </is>
      </c>
      <c r="P5" t="inlineStr">
        <is>
          <t>Fragmento nativo</t>
        </is>
      </c>
      <c r="Q5" t="inlineStr">
        <is>
          <t>Não</t>
        </is>
      </c>
      <c r="R5" t="inlineStr">
        <is>
          <t>Rede elétrica</t>
        </is>
      </c>
      <c r="T5" t="inlineStr">
        <is>
          <t>Licença Ambiental Simplificada</t>
        </is>
      </c>
      <c r="U5" t="inlineStr">
        <is>
          <t>Prefeitura</t>
        </is>
      </c>
      <c r="V5" t="inlineStr">
        <is>
          <t>Em análise</t>
        </is>
      </c>
    </row>
    <row r="6">
      <c r="A6" t="inlineStr">
        <is>
          <t>Suspenso</t>
        </is>
      </c>
      <c r="B6" t="inlineStr">
        <is>
          <t>Não se aplica</t>
        </is>
      </c>
      <c r="C6" t="inlineStr">
        <is>
          <t>Cancelado</t>
        </is>
      </c>
      <c r="F6" t="inlineStr">
        <is>
          <t>Fazenda Alvorada</t>
        </is>
      </c>
      <c r="G6" t="inlineStr">
        <is>
          <t>Travessia</t>
        </is>
      </c>
      <c r="I6" t="inlineStr">
        <is>
          <t>Cancelada</t>
        </is>
      </c>
      <c r="J6" t="inlineStr">
        <is>
          <t>TAC</t>
        </is>
      </c>
      <c r="K6" t="inlineStr">
        <is>
          <t>Ministério Público</t>
        </is>
      </c>
      <c r="L6" t="inlineStr">
        <is>
          <t>Parcelado</t>
        </is>
      </c>
      <c r="N6" t="inlineStr">
        <is>
          <t>Não se aplica</t>
        </is>
      </c>
      <c r="O6" t="inlineStr">
        <is>
          <t>Arquivado</t>
        </is>
      </c>
      <c r="P6" t="inlineStr">
        <is>
          <t>APP</t>
        </is>
      </c>
      <c r="Q6" t="inlineStr">
        <is>
          <t>A verificar</t>
        </is>
      </c>
      <c r="R6" t="inlineStr">
        <is>
          <t>Balão</t>
        </is>
      </c>
      <c r="T6" t="inlineStr">
        <is>
          <t>Renovação de LO</t>
        </is>
      </c>
      <c r="U6" t="inlineStr">
        <is>
          <t>DAEE</t>
        </is>
      </c>
      <c r="V6" t="inlineStr">
        <is>
          <t>Cancelada</t>
        </is>
      </c>
    </row>
    <row r="7">
      <c r="A7" t="inlineStr">
        <is>
          <t>Não inscrito</t>
        </is>
      </c>
      <c r="C7" t="inlineStr">
        <is>
          <t>Suspenso</t>
        </is>
      </c>
      <c r="F7" t="inlineStr">
        <is>
          <t>Fazenda Santa Inacia</t>
        </is>
      </c>
      <c r="G7" t="inlineStr">
        <is>
          <t>Lançamento de efluente</t>
        </is>
      </c>
      <c r="I7" t="inlineStr">
        <is>
          <t>Não possui</t>
        </is>
      </c>
      <c r="J7" t="inlineStr">
        <is>
          <t>Embargo</t>
        </is>
      </c>
      <c r="K7" t="inlineStr">
        <is>
          <t>Prefeitura</t>
        </is>
      </c>
      <c r="L7" t="inlineStr">
        <is>
          <t>Convertido em serviços</t>
        </is>
      </c>
      <c r="O7" t="inlineStr">
        <is>
          <t>Suspenso</t>
        </is>
      </c>
      <c r="P7" t="inlineStr">
        <is>
          <t>Reserva Legal</t>
        </is>
      </c>
      <c r="R7" t="inlineStr">
        <is>
          <t>Queima controlada autorizada</t>
        </is>
      </c>
      <c r="T7" t="inlineStr">
        <is>
          <t>CADRI</t>
        </is>
      </c>
      <c r="U7" t="inlineStr">
        <is>
          <t>Outro</t>
        </is>
      </c>
      <c r="V7" t="inlineStr">
        <is>
          <t>Não se aplica</t>
        </is>
      </c>
    </row>
    <row r="8">
      <c r="A8" t="inlineStr">
        <is>
          <t>A verificar</t>
        </is>
      </c>
      <c r="C8" t="inlineStr">
        <is>
          <t>Não inscrito</t>
        </is>
      </c>
      <c r="F8" t="inlineStr">
        <is>
          <t>Fazenda Iracema</t>
        </is>
      </c>
      <c r="G8" t="inlineStr">
        <is>
          <t>Dispensa de outorga</t>
        </is>
      </c>
      <c r="I8" t="inlineStr">
        <is>
          <t>A verificar</t>
        </is>
      </c>
      <c r="J8" t="inlineStr">
        <is>
          <t>Notificação</t>
        </is>
      </c>
      <c r="K8" t="inlineStr">
        <is>
          <t>Outro</t>
        </is>
      </c>
      <c r="L8" t="inlineStr">
        <is>
          <t>Anulado</t>
        </is>
      </c>
      <c r="O8" t="inlineStr">
        <is>
          <t>Recurso</t>
        </is>
      </c>
      <c r="P8" t="inlineStr">
        <is>
          <t>Aceiro/carreador</t>
        </is>
      </c>
      <c r="R8" t="inlineStr">
        <is>
          <t>Desconhecida</t>
        </is>
      </c>
      <c r="T8" t="inlineStr">
        <is>
          <t>Certificado de Dispensa de Licença</t>
        </is>
      </c>
      <c r="V8" t="inlineStr">
        <is>
          <t>A verificar</t>
        </is>
      </c>
    </row>
    <row r="9">
      <c r="F9" t="inlineStr">
        <is>
          <t>Fazenda Vitória</t>
        </is>
      </c>
      <c r="G9" t="inlineStr">
        <is>
          <t>Uso insignificante</t>
        </is>
      </c>
      <c r="L9" t="inlineStr">
        <is>
          <t>Inscrito em dívida ativa</t>
        </is>
      </c>
      <c r="P9" t="inlineStr">
        <is>
          <t>Misto</t>
        </is>
      </c>
      <c r="T9" t="inlineStr">
        <is>
          <t>Autorização de supressão de vegetação</t>
        </is>
      </c>
    </row>
    <row r="10">
      <c r="F10" t="inlineStr">
        <is>
          <t>Fazenda Santa Helena</t>
        </is>
      </c>
      <c r="L10" t="inlineStr">
        <is>
          <t>Encerrado</t>
        </is>
      </c>
      <c r="T10" t="inlineStr">
        <is>
          <t>Autorização de intervenção em APP</t>
        </is>
      </c>
    </row>
    <row r="11">
      <c r="F11" t="inlineStr">
        <is>
          <t>Fazenda São José</t>
        </is>
      </c>
      <c r="T11" t="inlineStr">
        <is>
          <t>Licença de queima controlada</t>
        </is>
      </c>
    </row>
    <row r="12">
      <c r="F12" t="inlineStr">
        <is>
          <t>Fazenda São Luiz</t>
        </is>
      </c>
      <c r="T12" t="inlineStr">
        <is>
          <t>Cadastro de fonte de poluição</t>
        </is>
      </c>
    </row>
    <row r="13">
      <c r="F13" t="inlineStr">
        <is>
          <t>Sítio São José I</t>
        </is>
      </c>
    </row>
    <row r="14">
      <c r="F14" t="inlineStr">
        <is>
          <t>Fazenda Santa Rosa</t>
        </is>
      </c>
    </row>
    <row r="15">
      <c r="F15" t="inlineStr">
        <is>
          <t>Fazenda Santa Cruz</t>
        </is>
      </c>
    </row>
    <row r="16">
      <c r="F16" t="inlineStr">
        <is>
          <t>Fazenda Santa Maria</t>
        </is>
      </c>
    </row>
    <row r="17">
      <c r="F17" t="inlineStr">
        <is>
          <t>Fazenda São João</t>
        </is>
      </c>
    </row>
    <row r="18">
      <c r="F18" t="inlineStr">
        <is>
          <t>Fazenda Primavera</t>
        </is>
      </c>
    </row>
    <row r="19">
      <c r="F19" t="inlineStr">
        <is>
          <t>Fazenda São Pedro</t>
        </is>
      </c>
    </row>
    <row r="20">
      <c r="F20" t="inlineStr">
        <is>
          <t>Fazenda Lago Azul</t>
        </is>
      </c>
    </row>
    <row r="21">
      <c r="F21" t="inlineStr">
        <is>
          <t>Fazenda São Francisco (S.Pedro) GEO c/ desmembramento</t>
        </is>
      </c>
    </row>
    <row r="22">
      <c r="F22" t="inlineStr">
        <is>
          <t>FAZENDA CÓRREGO RICO - MFG-18000</t>
        </is>
      </c>
    </row>
    <row r="23">
      <c r="F23" t="inlineStr">
        <is>
          <t>FAZENDA QUATRO IRMÃOS - SOAs-18001</t>
        </is>
      </c>
    </row>
    <row r="24">
      <c r="F24" t="inlineStr">
        <is>
          <t>FAZ. GIRASSOIS - GAQ-18002</t>
        </is>
      </c>
    </row>
    <row r="25">
      <c r="F25" t="inlineStr">
        <is>
          <t>FAZ. MANGUE - MQ</t>
        </is>
      </c>
    </row>
    <row r="26">
      <c r="F26" t="inlineStr">
        <is>
          <t>FAZENDA AGUA DOCE PARTE IV - RJP</t>
        </is>
      </c>
    </row>
    <row r="27">
      <c r="F27" t="inlineStr">
        <is>
          <t>FAZENDA AGUA DOCE PARTE II - MAP</t>
        </is>
      </c>
    </row>
    <row r="28">
      <c r="F28" t="inlineStr">
        <is>
          <t>FAZENDA ANTONIO BIANCO - SBA</t>
        </is>
      </c>
    </row>
    <row r="29">
      <c r="F29" t="inlineStr">
        <is>
          <t>FAZ. SANTO INACIO - ILMJA</t>
        </is>
      </c>
    </row>
    <row r="30">
      <c r="F30" t="inlineStr">
        <is>
          <t>FAZENDA CÓRREGO RICO - LAN</t>
        </is>
      </c>
    </row>
    <row r="31">
      <c r="F31" t="inlineStr">
        <is>
          <t>FAZENDA OLIVEIRA - MAO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2026-08-19T16:24:40Z</dcterms:created>
  <dcterms:modified xsi:type="dcterms:W3CDTF">2026-08-19T16:24:40Z</dcterms:modified>
</cp:coreProperties>
</file>